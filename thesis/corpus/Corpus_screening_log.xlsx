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rpus selection" sheetId="1" state="visible" r:id="rId3"/>
    <sheet name="Page balance" sheetId="2" state="visible" r:id="rId4"/>
    <sheet name="Crosswalk" sheetId="3" state="visible" r:id="rId5"/>
    <sheet name="Assumptions" sheetId="4" state="visible" r:id="rId6"/>
  </sheets>
  <definedNames>
    <definedName function="false" hidden="true" localSheetId="0" name="_xlnm._FilterDatabase" vbProcedure="false">'Corpus selection'!$A$1:$N$38</definedName>
    <definedName function="false" hidden="true" localSheetId="2" name="_xlnm._FilterDatabase" vbProcedure="false">Crosswalk!$A$1:$E$91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<sst xmlns="http://schemas.openxmlformats.org/spreadsheetml/2006/main" count="938" uniqueCount="428">
  <si>
    <t xml:space="preserve">ID</t>
  </si>
  <si>
    <t xml:space="preserve">Source file</t>
  </si>
  <si>
    <t xml:space="preserve">Post # in file</t>
  </si>
  <si>
    <t xml:space="preserve">Page (stratum)</t>
  </si>
  <si>
    <t xml:space="preserve">Caption author</t>
  </si>
  <si>
    <t xml:space="preserve">Caption img</t>
  </si>
  <si>
    <t xml:space="preserve">Comment imgs</t>
  </si>
  <si>
    <t xml:space="preserve">Age shown</t>
  </si>
  <si>
    <t xml:space="preserve">Likes / comments shown</t>
  </si>
  <si>
    <t xml:space="preserve">Topic fit</t>
  </si>
  <si>
    <t xml:space="preserve">Comment A type</t>
  </si>
  <si>
    <t xml:space="preserve">Comment B type</t>
  </si>
  <si>
    <t xml:space="preserve">Decision</t>
  </si>
  <si>
    <t xml:space="preserve">Reason / action</t>
  </si>
  <si>
    <t xml:space="preserve">M01</t>
  </si>
  <si>
    <t xml:space="preserve">MENTAL</t>
  </si>
  <si>
    <t xml:space="preserve">Page 1</t>
  </si>
  <si>
    <t xml:space="preserve">Page 2</t>
  </si>
  <si>
    <t xml:space="preserve">2,3</t>
  </si>
  <si>
    <t xml:space="preserve">124w</t>
  </si>
  <si>
    <t xml:space="preserve">Meets minimum (per researcher)</t>
  </si>
  <si>
    <t xml:space="preserve">Yes</t>
  </si>
  <si>
    <t xml:space="preserve">S</t>
  </si>
  <si>
    <t xml:space="preserve">Retain - spare used</t>
  </si>
  <si>
    <t xml:space="preserve">Spare used to reach 30. Ambassador post (caption author Page 2) shown on Page 1.</t>
  </si>
  <si>
    <t xml:space="preserve">M02</t>
  </si>
  <si>
    <t xml:space="preserve">5,6</t>
  </si>
  <si>
    <t xml:space="preserve">125w</t>
  </si>
  <si>
    <t xml:space="preserve">N</t>
  </si>
  <si>
    <t xml:space="preserve">Retain</t>
  </si>
  <si>
    <t xml:space="preserve">Short caption. Both comment kinds present.</t>
  </si>
  <si>
    <t xml:space="preserve">M03</t>
  </si>
  <si>
    <t xml:space="preserve">8,9</t>
  </si>
  <si>
    <t xml:space="preserve">Both comment kinds present. Comment A (img 8) discloses a spouse's suicidality. Sensitive.</t>
  </si>
  <si>
    <t xml:space="preserve">M04</t>
  </si>
  <si>
    <t xml:space="preserve">11,12</t>
  </si>
  <si>
    <t xml:space="preserve">126w</t>
  </si>
  <si>
    <t xml:space="preserve">Both comments supportive.</t>
  </si>
  <si>
    <t xml:space="preserve">M05</t>
  </si>
  <si>
    <t xml:space="preserve">Page 3</t>
  </si>
  <si>
    <t xml:space="preserve">14,15</t>
  </si>
  <si>
    <t xml:space="preserve">128w</t>
  </si>
  <si>
    <t xml:space="preserve">No (caregiving campaign)</t>
  </si>
  <si>
    <t xml:space="preserve">?</t>
  </si>
  <si>
    <t xml:space="preserve">Exclude</t>
  </si>
  <si>
    <t xml:space="preserve">Content: promotes a caregiving film campaign. It is not clearly about mental health, and the comments are about rare disease and Alzheimer's care.</t>
  </si>
  <si>
    <t xml:space="preserve">M06</t>
  </si>
  <si>
    <t xml:space="preserve">17,18</t>
  </si>
  <si>
    <t xml:space="preserve">129w</t>
  </si>
  <si>
    <t xml:space="preserve">N?</t>
  </si>
  <si>
    <t xml:space="preserve">Comment B (img 18) is a personal disclosure with stacked hashtags. Check how to code it.</t>
  </si>
  <si>
    <t xml:space="preserve">M07</t>
  </si>
  <si>
    <t xml:space="preserve">Page 4</t>
  </si>
  <si>
    <t xml:space="preserve">20,21</t>
  </si>
  <si>
    <t xml:space="preserve">X</t>
  </si>
  <si>
    <t xml:space="preserve">Spare</t>
  </si>
  <si>
    <t xml:space="preserve">Ambassador post (caption author Page 4). Comment B (img 21) is about a different post (newsroom reach), not this caption.</t>
  </si>
  <si>
    <t xml:space="preserve">M08</t>
  </si>
  <si>
    <t xml:space="preserve">23,24</t>
  </si>
  <si>
    <t xml:space="preserve">131w</t>
  </si>
  <si>
    <t xml:space="preserve">Short caption. Both comments supportive.</t>
  </si>
  <si>
    <t xml:space="preserve">M09</t>
  </si>
  <si>
    <t xml:space="preserve">Page 5</t>
  </si>
  <si>
    <t xml:space="preserve">26,27</t>
  </si>
  <si>
    <t xml:space="preserve">51w</t>
  </si>
  <si>
    <t xml:space="preserve">Spare used to reach 30. Comment B (img 27) is cut off in the screenshot. Recapture it in full.</t>
  </si>
  <si>
    <t xml:space="preserve">M10</t>
  </si>
  <si>
    <t xml:space="preserve">29,30</t>
  </si>
  <si>
    <t xml:space="preserve">53w</t>
  </si>
  <si>
    <t xml:space="preserve">Comment B (img 30) asks how to become a peer supporter. It is neither support nor a personal story. Swap it.</t>
  </si>
  <si>
    <t xml:space="preserve">M11</t>
  </si>
  <si>
    <t xml:space="preserve">32,33</t>
  </si>
  <si>
    <t xml:space="preserve">54w</t>
  </si>
  <si>
    <t xml:space="preserve">Spare used to reach 30. Both comments come from organizational accounts and the caption is mostly informational.</t>
  </si>
  <si>
    <t xml:space="preserve">M12</t>
  </si>
  <si>
    <t xml:space="preserve">35,36</t>
  </si>
  <si>
    <t xml:space="preserve">55w</t>
  </si>
  <si>
    <t xml:space="preserve">Commenter 023 (img 36) also appears in M16.</t>
  </si>
  <si>
    <t xml:space="preserve">M13</t>
  </si>
  <si>
    <t xml:space="preserve">38,39</t>
  </si>
  <si>
    <t xml:space="preserve">58w</t>
  </si>
  <si>
    <t xml:space="preserve">Comment B is a practitioner describing their own work. Code with care.</t>
  </si>
  <si>
    <t xml:space="preserve">M14</t>
  </si>
  <si>
    <t xml:space="preserve">Page 6</t>
  </si>
  <si>
    <t xml:space="preserve">41,42</t>
  </si>
  <si>
    <t xml:space="preserve">59w</t>
  </si>
  <si>
    <t xml:space="preserve">Collab post (caption author Page 6). Both comment kinds present.</t>
  </si>
  <si>
    <t xml:space="preserve">M15</t>
  </si>
  <si>
    <t xml:space="preserve">44,45</t>
  </si>
  <si>
    <t xml:space="preserve">Both comments are personal stories. Suicide-prevention topic, so sensitive.</t>
  </si>
  <si>
    <t xml:space="preserve">M16</t>
  </si>
  <si>
    <t xml:space="preserve">47,48</t>
  </si>
  <si>
    <t xml:space="preserve">61w</t>
  </si>
  <si>
    <t xml:space="preserve">Commenter 023 (img 47) also appears in M12. Consider swapping one comment.</t>
  </si>
  <si>
    <t xml:space="preserve">M17</t>
  </si>
  <si>
    <t xml:space="preserve">Page 7</t>
  </si>
  <si>
    <t xml:space="preserve">50</t>
  </si>
  <si>
    <t xml:space="preserve">42w</t>
  </si>
  <si>
    <t xml:space="preserve">Marginal (fatherhood, provider role, relationships)</t>
  </si>
  <si>
    <t xml:space="preserve">Retain - borderline content</t>
  </si>
  <si>
    <t xml:space="preserve">Used to reach 30. Content is marginal (provider role and relationships rather than mental health itself). Needs an adviser decision. Comment B is an opinion, not support or a story.</t>
  </si>
  <si>
    <t xml:space="preserve">M18</t>
  </si>
  <si>
    <t xml:space="preserve">52</t>
  </si>
  <si>
    <t xml:space="preserve">43w</t>
  </si>
  <si>
    <t xml:space="preserve">No (GLP-1 weight-loss drugs)</t>
  </si>
  <si>
    <t xml:space="preserve">Off-topic. The captured comments also criticize the article.</t>
  </si>
  <si>
    <t xml:space="preserve">M19</t>
  </si>
  <si>
    <t xml:space="preserve">54,55</t>
  </si>
  <si>
    <t xml:space="preserve">44w</t>
  </si>
  <si>
    <t xml:space="preserve">No (parrots, dance, language)</t>
  </si>
  <si>
    <t xml:space="preserve">Off-topic for mental health advocacy.</t>
  </si>
  <si>
    <t xml:space="preserve">M20</t>
  </si>
  <si>
    <t xml:space="preserve">57,58</t>
  </si>
  <si>
    <t xml:space="preserve">Caption is a series prompt (Ask a Therapist). May code as blended/indeterminate. Report it as such.</t>
  </si>
  <si>
    <t xml:space="preserve">M21</t>
  </si>
  <si>
    <t xml:space="preserve">60,61</t>
  </si>
  <si>
    <t xml:space="preserve">No (male sexual desire)</t>
  </si>
  <si>
    <t xml:space="preserve">M22</t>
  </si>
  <si>
    <t xml:space="preserve">63</t>
  </si>
  <si>
    <t xml:space="preserve">45w</t>
  </si>
  <si>
    <t xml:space="preserve">Both comment kinds present.</t>
  </si>
  <si>
    <t xml:space="preserve">M23</t>
  </si>
  <si>
    <t xml:space="preserve">65</t>
  </si>
  <si>
    <t xml:space="preserve">No (monogamy, affairs)</t>
  </si>
  <si>
    <t xml:space="preserve">Off-topic. The captured comments are opinion and complaints.</t>
  </si>
  <si>
    <t xml:space="preserve">M24</t>
  </si>
  <si>
    <t xml:space="preserve">67,68</t>
  </si>
  <si>
    <t xml:space="preserve">46w</t>
  </si>
  <si>
    <t xml:space="preserve">Yes (family estrangement, abuse survivors)</t>
  </si>
  <si>
    <t xml:space="preserve">Both comments are personal stories. Sensitive topic.</t>
  </si>
  <si>
    <t xml:space="preserve">M25</t>
  </si>
  <si>
    <t xml:space="preserve">Page 8</t>
  </si>
  <si>
    <t xml:space="preserve">Page 9</t>
  </si>
  <si>
    <t xml:space="preserve">70,71</t>
  </si>
  <si>
    <t xml:space="preserve">Retain - swap comment(s)</t>
  </si>
  <si>
    <t xml:space="preserve">Comment A (img 70) asks about community activities. Replace with a supportive comment.</t>
  </si>
  <si>
    <t xml:space="preserve">M26</t>
  </si>
  <si>
    <t xml:space="preserve">73,74</t>
  </si>
  <si>
    <t xml:space="preserve">63w</t>
  </si>
  <si>
    <t xml:space="preserve">Comment A (img 73) is a plea for help, not a response to the caption. Replace it.</t>
  </si>
  <si>
    <t xml:space="preserve">M27</t>
  </si>
  <si>
    <t xml:space="preserve">76,77</t>
  </si>
  <si>
    <t xml:space="preserve">72w</t>
  </si>
  <si>
    <t xml:space="preserve">M28</t>
  </si>
  <si>
    <t xml:space="preserve">79</t>
  </si>
  <si>
    <t xml:space="preserve">81w</t>
  </si>
  <si>
    <t xml:space="preserve">Both captured comments (img 79) are promotional. Replace both.</t>
  </si>
  <si>
    <t xml:space="preserve">M29</t>
  </si>
  <si>
    <t xml:space="preserve">Page 10</t>
  </si>
  <si>
    <t xml:space="preserve">81</t>
  </si>
  <si>
    <t xml:space="preserve">47w</t>
  </si>
  <si>
    <t xml:space="preserve">Comment B is a shared-experience question. Check that the page meets the "not primarily commercial" rule.</t>
  </si>
  <si>
    <t xml:space="preserve">M30</t>
  </si>
  <si>
    <t xml:space="preserve">83,84</t>
  </si>
  <si>
    <t xml:space="preserve">49w</t>
  </si>
  <si>
    <t xml:space="preserve">Check that the page meets the "not primarily commercial" rule.</t>
  </si>
  <si>
    <t xml:space="preserve">C01</t>
  </si>
  <si>
    <t xml:space="preserve">CORPS</t>
  </si>
  <si>
    <t xml:space="preserve">Page 11</t>
  </si>
  <si>
    <t xml:space="preserve">Oct 23, 2025</t>
  </si>
  <si>
    <t xml:space="preserve">68.2K likes / 2,678 comments</t>
  </si>
  <si>
    <t xml:space="preserve">Comment B (img 3) discloses suicidal thoughts. Sensitive.</t>
  </si>
  <si>
    <t xml:space="preserve">C02</t>
  </si>
  <si>
    <t xml:space="preserve">Page 12</t>
  </si>
  <si>
    <t xml:space="preserve">Oct 10, 2025</t>
  </si>
  <si>
    <t xml:space="preserve">45.2K likes / 573 comments</t>
  </si>
  <si>
    <t xml:space="preserve">Spare used to reach 30. Collab post: caption written by Page 12 and shown on Page 11. Both comments supportive.</t>
  </si>
  <si>
    <t xml:space="preserve">C03</t>
  </si>
  <si>
    <t xml:space="preserve">Sep 05, 2025</t>
  </si>
  <si>
    <t xml:space="preserve">likes not shown / 155 comments</t>
  </si>
  <si>
    <t xml:space="preserve">Spare used to reach 30. Both comments supportive. Third suicide-themed post from this page.</t>
  </si>
  <si>
    <t xml:space="preserve">C04</t>
  </si>
  <si>
    <t xml:space="preserve">May 27, 2025</t>
  </si>
  <si>
    <t xml:space="preserve">32.1K likes / 225 comments</t>
  </si>
  <si>
    <t xml:space="preserve">Comment B reads as a personal stance. Check when coding.</t>
  </si>
  <si>
    <t xml:space="preserve">C05</t>
  </si>
  <si>
    <t xml:space="preserve">Mar 26, 2025</t>
  </si>
  <si>
    <t xml:space="preserve">21.3K likes / 132 comments</t>
  </si>
  <si>
    <t xml:space="preserve">C06</t>
  </si>
  <si>
    <t xml:space="preserve">Feb 16, 2025</t>
  </si>
  <si>
    <t xml:space="preserve">43.6K likes / 288 comments</t>
  </si>
  <si>
    <t xml:space="preserve">Carousel. Only the first slide was captured.</t>
  </si>
  <si>
    <t xml:space="preserve">C07</t>
  </si>
  <si>
    <t xml:space="preserve">Jan 11, 2025</t>
  </si>
  <si>
    <t xml:space="preserve">32.2K likes / 96 comments</t>
  </si>
  <si>
    <t xml:space="preserve">Target posts per page</t>
  </si>
  <si>
    <t xml:space="preserve">Input. 6 pages x 5 posts = 30. Pages above target are there because spares were used to reach the cap.</t>
  </si>
  <si>
    <t xml:space="preserve">Corpus cap (captions)</t>
  </si>
  <si>
    <t xml:space="preserve">Input. From the proposal: maximum of 30 captions.</t>
  </si>
  <si>
    <t xml:space="preserve">Posts in file</t>
  </si>
  <si>
    <t xml:space="preserve">Excluded</t>
  </si>
  <si>
    <t xml:space="preserve">Retained (incl. swap)</t>
  </si>
  <si>
    <t xml:space="preserve">Hold</t>
  </si>
  <si>
    <t xml:space="preserve">Open slots to reach target</t>
  </si>
  <si>
    <t xml:space="preserve">Most available if holds and spares are used</t>
  </si>
  <si>
    <t xml:space="preserve">Total</t>
  </si>
  <si>
    <t xml:space="preserve">Gap between retained and the cap</t>
  </si>
  <si>
    <t xml:space="preserve">Gap if every hold and spare is used</t>
  </si>
  <si>
    <t xml:space="preserve">Page codes match the anonymized file: Page 1 = first page group in MENTAL, Page 5 = second, Page 7 = third, Page 8 = fourth (posts written by Page 9), Page 10 = last group (heading blank in your file), Page 11 = all of CORPS.</t>
  </si>
  <si>
    <t xml:space="preserve">Label</t>
  </si>
  <si>
    <t xml:space="preserve">Source post</t>
  </si>
  <si>
    <t xml:space="preserve">Page code in anonymized file</t>
  </si>
  <si>
    <t xml:space="preserve">Image no.</t>
  </si>
  <si>
    <t xml:space="preserve">Author code in anonymized file</t>
  </si>
  <si>
    <t xml:space="preserve">P1_C1</t>
  </si>
  <si>
    <t xml:space="preserve">1</t>
  </si>
  <si>
    <t xml:space="preserve">P1_C1_X1</t>
  </si>
  <si>
    <t xml:space="preserve">2</t>
  </si>
  <si>
    <t xml:space="preserve">Commenter 001</t>
  </si>
  <si>
    <t xml:space="preserve">P1_C1_X2</t>
  </si>
  <si>
    <t xml:space="preserve">3</t>
  </si>
  <si>
    <t xml:space="preserve">Commenter 002</t>
  </si>
  <si>
    <t xml:space="preserve">P1_C2</t>
  </si>
  <si>
    <t xml:space="preserve">4</t>
  </si>
  <si>
    <t xml:space="preserve">P1_C2_X1</t>
  </si>
  <si>
    <t xml:space="preserve">5</t>
  </si>
  <si>
    <t xml:space="preserve">Commenter 003</t>
  </si>
  <si>
    <t xml:space="preserve">P1_C2_X2</t>
  </si>
  <si>
    <t xml:space="preserve">6</t>
  </si>
  <si>
    <t xml:space="preserve">Commenter 004</t>
  </si>
  <si>
    <t xml:space="preserve">P1_C3</t>
  </si>
  <si>
    <t xml:space="preserve">7</t>
  </si>
  <si>
    <t xml:space="preserve">P1_C3_X1</t>
  </si>
  <si>
    <t xml:space="preserve">8</t>
  </si>
  <si>
    <t xml:space="preserve">Commenter 005</t>
  </si>
  <si>
    <t xml:space="preserve">P1_C3_X2</t>
  </si>
  <si>
    <t xml:space="preserve">9</t>
  </si>
  <si>
    <t xml:space="preserve">Commenter 006</t>
  </si>
  <si>
    <t xml:space="preserve">P1_C4</t>
  </si>
  <si>
    <t xml:space="preserve">10</t>
  </si>
  <si>
    <t xml:space="preserve">P1_C4_X1</t>
  </si>
  <si>
    <t xml:space="preserve">11</t>
  </si>
  <si>
    <t xml:space="preserve">Commenter 007</t>
  </si>
  <si>
    <t xml:space="preserve">P1_C4_X2</t>
  </si>
  <si>
    <t xml:space="preserve">12</t>
  </si>
  <si>
    <t xml:space="preserve">Commenter 008</t>
  </si>
  <si>
    <t xml:space="preserve">P1_C5</t>
  </si>
  <si>
    <t xml:space="preserve">16</t>
  </si>
  <si>
    <t xml:space="preserve">P1_C5_X1</t>
  </si>
  <si>
    <t xml:space="preserve">17</t>
  </si>
  <si>
    <t xml:space="preserve">Commenter 011</t>
  </si>
  <si>
    <t xml:space="preserve">P1_C5_X2</t>
  </si>
  <si>
    <t xml:space="preserve">18</t>
  </si>
  <si>
    <t xml:space="preserve">Commenter 012</t>
  </si>
  <si>
    <t xml:space="preserve">P1_C6</t>
  </si>
  <si>
    <t xml:space="preserve">22</t>
  </si>
  <si>
    <t xml:space="preserve">P1_C6_X1</t>
  </si>
  <si>
    <t xml:space="preserve">23</t>
  </si>
  <si>
    <t xml:space="preserve">Commenter 015</t>
  </si>
  <si>
    <t xml:space="preserve">P1_C6_X2</t>
  </si>
  <si>
    <t xml:space="preserve">24</t>
  </si>
  <si>
    <t xml:space="preserve">Commenter 016</t>
  </si>
  <si>
    <t xml:space="preserve">P2_C1</t>
  </si>
  <si>
    <t xml:space="preserve">25</t>
  </si>
  <si>
    <t xml:space="preserve">P2_C1_X1</t>
  </si>
  <si>
    <t xml:space="preserve">26</t>
  </si>
  <si>
    <t xml:space="preserve">Commenter 017</t>
  </si>
  <si>
    <t xml:space="preserve">P2_C1_X2</t>
  </si>
  <si>
    <t xml:space="preserve">27</t>
  </si>
  <si>
    <t xml:space="preserve">Commenter 018</t>
  </si>
  <si>
    <t xml:space="preserve">P2_C2</t>
  </si>
  <si>
    <t xml:space="preserve">31</t>
  </si>
  <si>
    <t xml:space="preserve">P2_C2_X1</t>
  </si>
  <si>
    <t xml:space="preserve">32</t>
  </si>
  <si>
    <t xml:space="preserve">Commenter 020</t>
  </si>
  <si>
    <t xml:space="preserve">P2_C2_X2</t>
  </si>
  <si>
    <t xml:space="preserve">33</t>
  </si>
  <si>
    <t xml:space="preserve">Commenter 021</t>
  </si>
  <si>
    <t xml:space="preserve">P2_C3</t>
  </si>
  <si>
    <t xml:space="preserve">34</t>
  </si>
  <si>
    <t xml:space="preserve">P2_C3_X1</t>
  </si>
  <si>
    <t xml:space="preserve">35</t>
  </si>
  <si>
    <t xml:space="preserve">Commenter 022</t>
  </si>
  <si>
    <t xml:space="preserve">P2_C3_X2</t>
  </si>
  <si>
    <t xml:space="preserve">36</t>
  </si>
  <si>
    <t xml:space="preserve">Commenter 023</t>
  </si>
  <si>
    <t xml:space="preserve">P2_C4</t>
  </si>
  <si>
    <t xml:space="preserve">37</t>
  </si>
  <si>
    <t xml:space="preserve">P2_C4_X1</t>
  </si>
  <si>
    <t xml:space="preserve">38</t>
  </si>
  <si>
    <t xml:space="preserve">Commenter 024</t>
  </si>
  <si>
    <t xml:space="preserve">P2_C4_X2</t>
  </si>
  <si>
    <t xml:space="preserve">39</t>
  </si>
  <si>
    <t xml:space="preserve">Commenter 025</t>
  </si>
  <si>
    <t xml:space="preserve">P2_C5</t>
  </si>
  <si>
    <t xml:space="preserve">40</t>
  </si>
  <si>
    <t xml:space="preserve">P2_C5_X1</t>
  </si>
  <si>
    <t xml:space="preserve">41</t>
  </si>
  <si>
    <t xml:space="preserve">Commenter 026</t>
  </si>
  <si>
    <t xml:space="preserve">P2_C5_X2</t>
  </si>
  <si>
    <t xml:space="preserve">42</t>
  </si>
  <si>
    <t xml:space="preserve">Commenter 027</t>
  </si>
  <si>
    <t xml:space="preserve">P2_C6</t>
  </si>
  <si>
    <t xml:space="preserve">43</t>
  </si>
  <si>
    <t xml:space="preserve">P2_C6_X1</t>
  </si>
  <si>
    <t xml:space="preserve">44</t>
  </si>
  <si>
    <t xml:space="preserve">Commenter 028</t>
  </si>
  <si>
    <t xml:space="preserve">P2_C6_X2</t>
  </si>
  <si>
    <t xml:space="preserve">45</t>
  </si>
  <si>
    <t xml:space="preserve">Commenter 029</t>
  </si>
  <si>
    <t xml:space="preserve">P2_C7</t>
  </si>
  <si>
    <t xml:space="preserve">46</t>
  </si>
  <si>
    <t xml:space="preserve">P2_C7_X1</t>
  </si>
  <si>
    <t xml:space="preserve">47</t>
  </si>
  <si>
    <t xml:space="preserve">P2_C7_X2</t>
  </si>
  <si>
    <t xml:space="preserve">48</t>
  </si>
  <si>
    <t xml:space="preserve">Commenter 030</t>
  </si>
  <si>
    <t xml:space="preserve">P3_C1</t>
  </si>
  <si>
    <t xml:space="preserve">49</t>
  </si>
  <si>
    <t xml:space="preserve">P3_C1_X1</t>
  </si>
  <si>
    <t xml:space="preserve">50a</t>
  </si>
  <si>
    <t xml:space="preserve">Commenter 031</t>
  </si>
  <si>
    <t xml:space="preserve">P3_C1_X2</t>
  </si>
  <si>
    <t xml:space="preserve">50b</t>
  </si>
  <si>
    <t xml:space="preserve">Commenter 032</t>
  </si>
  <si>
    <t xml:space="preserve">P3_C2</t>
  </si>
  <si>
    <t xml:space="preserve">56</t>
  </si>
  <si>
    <t xml:space="preserve">P3_C2_X1</t>
  </si>
  <si>
    <t xml:space="preserve">57</t>
  </si>
  <si>
    <t xml:space="preserve">Commenter 037</t>
  </si>
  <si>
    <t xml:space="preserve">P3_C2_X2</t>
  </si>
  <si>
    <t xml:space="preserve">58</t>
  </si>
  <si>
    <t xml:space="preserve">Commenter 038</t>
  </si>
  <si>
    <t xml:space="preserve">P3_C3</t>
  </si>
  <si>
    <t xml:space="preserve">62</t>
  </si>
  <si>
    <t xml:space="preserve">P3_C3_X1</t>
  </si>
  <si>
    <t xml:space="preserve">63a</t>
  </si>
  <si>
    <t xml:space="preserve">Commenter 039</t>
  </si>
  <si>
    <t xml:space="preserve">P3_C3_X2</t>
  </si>
  <si>
    <t xml:space="preserve">63b</t>
  </si>
  <si>
    <t xml:space="preserve">Commenter 041</t>
  </si>
  <si>
    <t xml:space="preserve">P3_C4</t>
  </si>
  <si>
    <t xml:space="preserve">66</t>
  </si>
  <si>
    <t xml:space="preserve">P3_C4_X1</t>
  </si>
  <si>
    <t xml:space="preserve">67</t>
  </si>
  <si>
    <t xml:space="preserve">Commenter 044</t>
  </si>
  <si>
    <t xml:space="preserve">P3_C4_X2</t>
  </si>
  <si>
    <t xml:space="preserve">68</t>
  </si>
  <si>
    <t xml:space="preserve">Commenter 045</t>
  </si>
  <si>
    <t xml:space="preserve">P4_C1</t>
  </si>
  <si>
    <t xml:space="preserve">69</t>
  </si>
  <si>
    <t xml:space="preserve">P4_C1_X1</t>
  </si>
  <si>
    <t xml:space="preserve">to be added</t>
  </si>
  <si>
    <t xml:space="preserve">P4_C1_X2</t>
  </si>
  <si>
    <t xml:space="preserve">71</t>
  </si>
  <si>
    <t xml:space="preserve">Commenter 047</t>
  </si>
  <si>
    <t xml:space="preserve">P4_C2</t>
  </si>
  <si>
    <t xml:space="preserve">72</t>
  </si>
  <si>
    <t xml:space="preserve">P4_C2_X1</t>
  </si>
  <si>
    <t xml:space="preserve">P4_C2_X2</t>
  </si>
  <si>
    <t xml:space="preserve">74</t>
  </si>
  <si>
    <t xml:space="preserve">Commenter 049</t>
  </si>
  <si>
    <t xml:space="preserve">P4_C3</t>
  </si>
  <si>
    <t xml:space="preserve">75</t>
  </si>
  <si>
    <t xml:space="preserve">P4_C3_X1</t>
  </si>
  <si>
    <t xml:space="preserve">76</t>
  </si>
  <si>
    <t xml:space="preserve">Commenter 050</t>
  </si>
  <si>
    <t xml:space="preserve">P4_C3_X2</t>
  </si>
  <si>
    <t xml:space="preserve">77</t>
  </si>
  <si>
    <t xml:space="preserve">Commenter 051</t>
  </si>
  <si>
    <t xml:space="preserve">P4_C4</t>
  </si>
  <si>
    <t xml:space="preserve">78</t>
  </si>
  <si>
    <t xml:space="preserve">P4_C4_X1</t>
  </si>
  <si>
    <t xml:space="preserve">P4_C4_X2</t>
  </si>
  <si>
    <t xml:space="preserve">P5_C1</t>
  </si>
  <si>
    <t xml:space="preserve">80</t>
  </si>
  <si>
    <t xml:space="preserve">P5_C1_X1</t>
  </si>
  <si>
    <t xml:space="preserve">81a</t>
  </si>
  <si>
    <t xml:space="preserve">Commenter 054</t>
  </si>
  <si>
    <t xml:space="preserve">P5_C1_X2</t>
  </si>
  <si>
    <t xml:space="preserve">81b</t>
  </si>
  <si>
    <t xml:space="preserve">Commenter 055</t>
  </si>
  <si>
    <t xml:space="preserve">P5_C2</t>
  </si>
  <si>
    <t xml:space="preserve">82</t>
  </si>
  <si>
    <t xml:space="preserve">P5_C2_X1</t>
  </si>
  <si>
    <t xml:space="preserve">83</t>
  </si>
  <si>
    <t xml:space="preserve">Commenter 056</t>
  </si>
  <si>
    <t xml:space="preserve">P5_C2_X2</t>
  </si>
  <si>
    <t xml:space="preserve">84</t>
  </si>
  <si>
    <t xml:space="preserve">Commenter 057</t>
  </si>
  <si>
    <t xml:space="preserve">P6_C1</t>
  </si>
  <si>
    <t xml:space="preserve">P6_C1_X1</t>
  </si>
  <si>
    <t xml:space="preserve">Commenter 058</t>
  </si>
  <si>
    <t xml:space="preserve">P6_C1_X2</t>
  </si>
  <si>
    <t xml:space="preserve">Commenter 059</t>
  </si>
  <si>
    <t xml:space="preserve">P6_C2</t>
  </si>
  <si>
    <t xml:space="preserve">P6_C2_X1</t>
  </si>
  <si>
    <t xml:space="preserve">Commenter 060</t>
  </si>
  <si>
    <t xml:space="preserve">P6_C2_X2</t>
  </si>
  <si>
    <t xml:space="preserve">Commenter 061</t>
  </si>
  <si>
    <t xml:space="preserve">P6_C3</t>
  </si>
  <si>
    <t xml:space="preserve">P6_C3_X1</t>
  </si>
  <si>
    <t xml:space="preserve">Commenter 063</t>
  </si>
  <si>
    <t xml:space="preserve">P6_C3_X2</t>
  </si>
  <si>
    <t xml:space="preserve">Commenter 064</t>
  </si>
  <si>
    <t xml:space="preserve">P6_C4</t>
  </si>
  <si>
    <t xml:space="preserve">P6_C4_X1</t>
  </si>
  <si>
    <t xml:space="preserve">Commenter 065</t>
  </si>
  <si>
    <t xml:space="preserve">P6_C4_X2</t>
  </si>
  <si>
    <t xml:space="preserve">Commenter 066</t>
  </si>
  <si>
    <t xml:space="preserve">P6_C5</t>
  </si>
  <si>
    <t xml:space="preserve">13</t>
  </si>
  <si>
    <t xml:space="preserve">P6_C5_X1</t>
  </si>
  <si>
    <t xml:space="preserve">14</t>
  </si>
  <si>
    <t xml:space="preserve">Commenter 067</t>
  </si>
  <si>
    <t xml:space="preserve">P6_C5_X2</t>
  </si>
  <si>
    <t xml:space="preserve">15</t>
  </si>
  <si>
    <t xml:space="preserve">Commenter 068</t>
  </si>
  <si>
    <t xml:space="preserve">P6_C6</t>
  </si>
  <si>
    <t xml:space="preserve">P6_C6_X1</t>
  </si>
  <si>
    <t xml:space="preserve">Commenter 069</t>
  </si>
  <si>
    <t xml:space="preserve">P6_C6_X2</t>
  </si>
  <si>
    <t xml:space="preserve">Commenter 070</t>
  </si>
  <si>
    <t xml:space="preserve">P6_C7</t>
  </si>
  <si>
    <t xml:space="preserve">19</t>
  </si>
  <si>
    <t xml:space="preserve">P6_C7_X1</t>
  </si>
  <si>
    <t xml:space="preserve">20</t>
  </si>
  <si>
    <t xml:space="preserve">Commenter 071</t>
  </si>
  <si>
    <t xml:space="preserve">P6_C7_X2</t>
  </si>
  <si>
    <t xml:space="preserve">21</t>
  </si>
  <si>
    <t xml:space="preserve">Commenter 072</t>
  </si>
  <si>
    <t xml:space="preserve">Assumptions and limits</t>
  </si>
  <si>
    <t xml:space="preserve">Date window (Sep 2024 to Dec 2025) and engagement (100 likes, 20 visible comments) are treated as met for every post, as confirmed by the researcher. Only content, comment eligibility and page balance were screened.</t>
  </si>
  <si>
    <t xml:space="preserve">Posts are excluded only on content: off-topic for mental health awareness, support, coping, recovery or advocacy. A weak captured comment is treated as a swap, because the proposal selects comments from all visible comments.</t>
  </si>
  <si>
    <t xml:space="preserve">Comment types: S = supportive, N = personal narrative, N? or ? = ambiguous, X = does not meet the proposal rule (question, spam or solicitation, or not a response to the caption).</t>
  </si>
  <si>
    <t xml:space="preserve">Comment checks use the proposal rule: English, at least ten words or one full clause, not emoji-only, not nested replies. Whether a captured comment is a nested reply cannot be seen in every screenshot.</t>
  </si>
  <si>
    <t xml:space="preserve">Where a page has more eligible posts than the target, I kept the posts written by the page itself and set collab or ambassador posts aside as spares.</t>
  </si>
  <si>
    <t xml:space="preserve">Page and commenter codes match MENTAL_and_CORPS_anonymized.docx. In that file, M-numbers are the "Post N" headings in the MENTAL part and C-numbers are the "Post N" headings in the CORPS part.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</si>
</sst>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color rgb="FF0000FF"/>
      <name val="Arial"/>
      <family val="0"/>
      <charset val="1"/>
    </font>
    <font>
      <b val="true"/>
      <sz val="10"/>
      <name val="Arial"/>
      <family val="0"/>
      <charset val="1"/>
    </font>
    <font>
      <b val="true"/>
      <sz val="12"/>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AD3"/>
        <bgColor rgb="FFE2EFDA"/>
      </patternFill>
    </fill>
    <fill>
      <patternFill patternType="solid">
        <fgColor rgb="FFE2EFDA"/>
        <bgColor rgb="FFD9EAD3"/>
      </patternFill>
    </fill>
    <fill>
      <patternFill patternType="solid">
        <fgColor rgb="FFEDEDED"/>
        <bgColor rgb="FFE2EFDA"/>
      </patternFill>
    </fill>
    <fill>
      <patternFill patternType="solid">
        <fgColor rgb="FFDDEBF7"/>
        <bgColor rgb="FFEDEDED"/>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2EFDA"/>
      <rgbColor rgb="FFD9EAD3"/>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0"/>
    <col collapsed="false" customWidth="true" hidden="false" outlineLevel="0" max="3" min="3" style="1" width="8"/>
    <col collapsed="false" customWidth="true" hidden="false" outlineLevel="0" max="5" min="4" style="1" width="11"/>
    <col collapsed="false" customWidth="true" hidden="false" outlineLevel="0" max="6" min="6" style="1" width="9"/>
    <col collapsed="false" customWidth="true" hidden="false" outlineLevel="0" max="7" min="7" style="1" width="11"/>
    <col collapsed="false" customWidth="true" hidden="false" outlineLevel="0" max="8" min="8" style="1" width="9"/>
    <col collapsed="false" customWidth="true" hidden="false" outlineLevel="0" max="9" min="9" style="1" width="28"/>
    <col collapsed="false" customWidth="true" hidden="false" outlineLevel="0" max="10" min="10" style="1" width="26"/>
    <col collapsed="false" customWidth="true" hidden="false" outlineLevel="0" max="12" min="11" style="1" width="10"/>
    <col collapsed="false" customWidth="true" hidden="false" outlineLevel="0" max="13" min="13" style="1" width="22"/>
    <col collapsed="false" customWidth="true" hidden="false" outlineLevel="0" max="14" min="14" style="1" width="64"/>
  </cols>
  <sheetData>
    <row r="1" customFormat="false" ht="39"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row>
    <row r="2" customFormat="false" ht="23.25" hidden="false" customHeight="true" outlineLevel="0" collapsed="false">
      <c r="A2" s="3" t="s">
        <v>14</v>
      </c>
      <c r="B2" s="3" t="s">
        <v>15</v>
      </c>
      <c r="C2" s="3" t="n">
        <v>1</v>
      </c>
      <c r="D2" s="3" t="s">
        <v>16</v>
      </c>
      <c r="E2" s="3" t="s">
        <v>17</v>
      </c>
      <c r="F2" s="3" t="n">
        <v>1</v>
      </c>
      <c r="G2" s="3" t="s">
        <v>18</v>
      </c>
      <c r="H2" s="3" t="s">
        <v>19</v>
      </c>
      <c r="I2" s="3" t="s">
        <v>20</v>
      </c>
      <c r="J2" s="3" t="s">
        <v>21</v>
      </c>
      <c r="K2" s="3" t="s">
        <v>22</v>
      </c>
      <c r="L2" s="3" t="s">
        <v>22</v>
      </c>
      <c r="M2" s="4" t="s">
        <v>23</v>
      </c>
      <c r="N2" s="3" t="s">
        <v>24</v>
      </c>
    </row>
    <row r="3" customFormat="false" ht="15" hidden="false" customHeight="true" outlineLevel="0" collapsed="false">
      <c r="A3" s="3" t="s">
        <v>25</v>
      </c>
      <c r="B3" s="3" t="s">
        <v>15</v>
      </c>
      <c r="C3" s="3" t="n">
        <v>2</v>
      </c>
      <c r="D3" s="3" t="s">
        <v>16</v>
      </c>
      <c r="E3" s="3" t="s">
        <v>16</v>
      </c>
      <c r="F3" s="3" t="n">
        <v>4</v>
      </c>
      <c r="G3" s="3" t="s">
        <v>26</v>
      </c>
      <c r="H3" s="3" t="s">
        <v>27</v>
      </c>
      <c r="I3" s="3" t="s">
        <v>20</v>
      </c>
      <c r="J3" s="3" t="s">
        <v>21</v>
      </c>
      <c r="K3" s="3" t="s">
        <v>22</v>
      </c>
      <c r="L3" s="3" t="s">
        <v>28</v>
      </c>
      <c r="M3" s="5" t="s">
        <v>29</v>
      </c>
      <c r="N3" s="3" t="s">
        <v>30</v>
      </c>
    </row>
    <row r="4" customFormat="false" ht="23.25" hidden="false" customHeight="true" outlineLevel="0" collapsed="false">
      <c r="A4" s="3" t="s">
        <v>31</v>
      </c>
      <c r="B4" s="3" t="s">
        <v>15</v>
      </c>
      <c r="C4" s="3" t="n">
        <v>3</v>
      </c>
      <c r="D4" s="3" t="s">
        <v>16</v>
      </c>
      <c r="E4" s="3" t="s">
        <v>16</v>
      </c>
      <c r="F4" s="3" t="n">
        <v>7</v>
      </c>
      <c r="G4" s="3" t="s">
        <v>32</v>
      </c>
      <c r="H4" s="3" t="s">
        <v>27</v>
      </c>
      <c r="I4" s="3" t="s">
        <v>20</v>
      </c>
      <c r="J4" s="3" t="s">
        <v>21</v>
      </c>
      <c r="K4" s="3" t="s">
        <v>28</v>
      </c>
      <c r="L4" s="3" t="s">
        <v>22</v>
      </c>
      <c r="M4" s="5" t="s">
        <v>29</v>
      </c>
      <c r="N4" s="3" t="s">
        <v>33</v>
      </c>
    </row>
    <row r="5" customFormat="false" ht="15" hidden="false" customHeight="true" outlineLevel="0" collapsed="false">
      <c r="A5" s="3" t="s">
        <v>34</v>
      </c>
      <c r="B5" s="3" t="s">
        <v>15</v>
      </c>
      <c r="C5" s="3" t="n">
        <v>4</v>
      </c>
      <c r="D5" s="3" t="s">
        <v>16</v>
      </c>
      <c r="E5" s="3" t="s">
        <v>16</v>
      </c>
      <c r="F5" s="3" t="n">
        <v>10</v>
      </c>
      <c r="G5" s="3" t="s">
        <v>35</v>
      </c>
      <c r="H5" s="3" t="s">
        <v>36</v>
      </c>
      <c r="I5" s="3" t="s">
        <v>20</v>
      </c>
      <c r="J5" s="3" t="s">
        <v>21</v>
      </c>
      <c r="K5" s="3" t="s">
        <v>22</v>
      </c>
      <c r="L5" s="3" t="s">
        <v>22</v>
      </c>
      <c r="M5" s="5" t="s">
        <v>29</v>
      </c>
      <c r="N5" s="3" t="s">
        <v>37</v>
      </c>
    </row>
    <row r="6" customFormat="false" ht="23.25" hidden="false" customHeight="true" outlineLevel="0" collapsed="false">
      <c r="A6" s="3" t="s">
        <v>38</v>
      </c>
      <c r="B6" s="3" t="s">
        <v>15</v>
      </c>
      <c r="C6" s="3" t="n">
        <v>5</v>
      </c>
      <c r="D6" s="3" t="s">
        <v>16</v>
      </c>
      <c r="E6" s="3" t="s">
        <v>39</v>
      </c>
      <c r="F6" s="3" t="n">
        <v>13</v>
      </c>
      <c r="G6" s="3" t="s">
        <v>40</v>
      </c>
      <c r="H6" s="3" t="s">
        <v>41</v>
      </c>
      <c r="I6" s="3" t="s">
        <v>20</v>
      </c>
      <c r="J6" s="3" t="s">
        <v>42</v>
      </c>
      <c r="K6" s="3" t="s">
        <v>43</v>
      </c>
      <c r="L6" s="3" t="s">
        <v>43</v>
      </c>
      <c r="M6" s="6" t="s">
        <v>44</v>
      </c>
      <c r="N6" s="3" t="s">
        <v>45</v>
      </c>
    </row>
    <row r="7" customFormat="false" ht="23.25" hidden="false" customHeight="true" outlineLevel="0" collapsed="false">
      <c r="A7" s="3" t="s">
        <v>46</v>
      </c>
      <c r="B7" s="3" t="s">
        <v>15</v>
      </c>
      <c r="C7" s="3" t="n">
        <v>6</v>
      </c>
      <c r="D7" s="3" t="s">
        <v>16</v>
      </c>
      <c r="E7" s="3" t="s">
        <v>16</v>
      </c>
      <c r="F7" s="3" t="n">
        <v>16</v>
      </c>
      <c r="G7" s="3" t="s">
        <v>47</v>
      </c>
      <c r="H7" s="3" t="s">
        <v>48</v>
      </c>
      <c r="I7" s="3" t="s">
        <v>20</v>
      </c>
      <c r="J7" s="3" t="s">
        <v>21</v>
      </c>
      <c r="K7" s="3" t="s">
        <v>28</v>
      </c>
      <c r="L7" s="3" t="s">
        <v>49</v>
      </c>
      <c r="M7" s="5" t="s">
        <v>29</v>
      </c>
      <c r="N7" s="3" t="s">
        <v>50</v>
      </c>
    </row>
    <row r="8" customFormat="false" ht="23.25" hidden="false" customHeight="true" outlineLevel="0" collapsed="false">
      <c r="A8" s="3" t="s">
        <v>51</v>
      </c>
      <c r="B8" s="3" t="s">
        <v>15</v>
      </c>
      <c r="C8" s="3" t="n">
        <v>7</v>
      </c>
      <c r="D8" s="3" t="s">
        <v>16</v>
      </c>
      <c r="E8" s="3" t="s">
        <v>52</v>
      </c>
      <c r="F8" s="3" t="n">
        <v>19</v>
      </c>
      <c r="G8" s="3" t="s">
        <v>53</v>
      </c>
      <c r="H8" s="3" t="s">
        <v>48</v>
      </c>
      <c r="I8" s="3" t="s">
        <v>20</v>
      </c>
      <c r="J8" s="3" t="s">
        <v>21</v>
      </c>
      <c r="K8" s="3" t="s">
        <v>28</v>
      </c>
      <c r="L8" s="3" t="s">
        <v>54</v>
      </c>
      <c r="M8" s="7" t="s">
        <v>55</v>
      </c>
      <c r="N8" s="3" t="s">
        <v>56</v>
      </c>
    </row>
    <row r="9" customFormat="false" ht="15" hidden="false" customHeight="true" outlineLevel="0" collapsed="false">
      <c r="A9" s="3" t="s">
        <v>57</v>
      </c>
      <c r="B9" s="3" t="s">
        <v>15</v>
      </c>
      <c r="C9" s="3" t="n">
        <v>8</v>
      </c>
      <c r="D9" s="3" t="s">
        <v>16</v>
      </c>
      <c r="E9" s="3" t="s">
        <v>16</v>
      </c>
      <c r="F9" s="3" t="n">
        <v>22</v>
      </c>
      <c r="G9" s="3" t="s">
        <v>58</v>
      </c>
      <c r="H9" s="3" t="s">
        <v>59</v>
      </c>
      <c r="I9" s="3" t="s">
        <v>20</v>
      </c>
      <c r="J9" s="3" t="s">
        <v>21</v>
      </c>
      <c r="K9" s="3" t="s">
        <v>22</v>
      </c>
      <c r="L9" s="3" t="s">
        <v>22</v>
      </c>
      <c r="M9" s="5" t="s">
        <v>29</v>
      </c>
      <c r="N9" s="3" t="s">
        <v>60</v>
      </c>
    </row>
    <row r="10" customFormat="false" ht="23.25" hidden="false" customHeight="true" outlineLevel="0" collapsed="false">
      <c r="A10" s="3" t="s">
        <v>61</v>
      </c>
      <c r="B10" s="3" t="s">
        <v>15</v>
      </c>
      <c r="C10" s="3" t="n">
        <v>9</v>
      </c>
      <c r="D10" s="3" t="s">
        <v>62</v>
      </c>
      <c r="E10" s="3" t="s">
        <v>62</v>
      </c>
      <c r="F10" s="3" t="n">
        <v>25</v>
      </c>
      <c r="G10" s="3" t="s">
        <v>63</v>
      </c>
      <c r="H10" s="3" t="s">
        <v>64</v>
      </c>
      <c r="I10" s="3" t="s">
        <v>20</v>
      </c>
      <c r="J10" s="3" t="s">
        <v>21</v>
      </c>
      <c r="K10" s="3" t="s">
        <v>22</v>
      </c>
      <c r="L10" s="3" t="s">
        <v>22</v>
      </c>
      <c r="M10" s="4" t="s">
        <v>23</v>
      </c>
      <c r="N10" s="3" t="s">
        <v>65</v>
      </c>
    </row>
    <row r="11" customFormat="false" ht="23.25" hidden="false" customHeight="true" outlineLevel="0" collapsed="false">
      <c r="A11" s="3" t="s">
        <v>66</v>
      </c>
      <c r="B11" s="3" t="s">
        <v>15</v>
      </c>
      <c r="C11" s="3" t="n">
        <v>10</v>
      </c>
      <c r="D11" s="3" t="s">
        <v>62</v>
      </c>
      <c r="E11" s="3" t="s">
        <v>62</v>
      </c>
      <c r="F11" s="3" t="n">
        <v>28</v>
      </c>
      <c r="G11" s="3" t="s">
        <v>67</v>
      </c>
      <c r="H11" s="3" t="s">
        <v>68</v>
      </c>
      <c r="I11" s="3" t="s">
        <v>20</v>
      </c>
      <c r="J11" s="3" t="s">
        <v>21</v>
      </c>
      <c r="K11" s="3" t="s">
        <v>22</v>
      </c>
      <c r="L11" s="3" t="s">
        <v>54</v>
      </c>
      <c r="M11" s="7" t="s">
        <v>55</v>
      </c>
      <c r="N11" s="3" t="s">
        <v>69</v>
      </c>
    </row>
    <row r="12" customFormat="false" ht="23.25" hidden="false" customHeight="true" outlineLevel="0" collapsed="false">
      <c r="A12" s="3" t="s">
        <v>70</v>
      </c>
      <c r="B12" s="3" t="s">
        <v>15</v>
      </c>
      <c r="C12" s="3" t="n">
        <v>11</v>
      </c>
      <c r="D12" s="3" t="s">
        <v>62</v>
      </c>
      <c r="E12" s="3" t="s">
        <v>62</v>
      </c>
      <c r="F12" s="3" t="n">
        <v>31</v>
      </c>
      <c r="G12" s="3" t="s">
        <v>71</v>
      </c>
      <c r="H12" s="3" t="s">
        <v>72</v>
      </c>
      <c r="I12" s="3" t="s">
        <v>20</v>
      </c>
      <c r="J12" s="3" t="s">
        <v>21</v>
      </c>
      <c r="K12" s="3" t="s">
        <v>22</v>
      </c>
      <c r="L12" s="3" t="s">
        <v>22</v>
      </c>
      <c r="M12" s="4" t="s">
        <v>23</v>
      </c>
      <c r="N12" s="3" t="s">
        <v>73</v>
      </c>
    </row>
    <row r="13" customFormat="false" ht="15" hidden="false" customHeight="true" outlineLevel="0" collapsed="false">
      <c r="A13" s="3" t="s">
        <v>74</v>
      </c>
      <c r="B13" s="3" t="s">
        <v>15</v>
      </c>
      <c r="C13" s="3" t="n">
        <v>12</v>
      </c>
      <c r="D13" s="3" t="s">
        <v>62</v>
      </c>
      <c r="E13" s="3" t="s">
        <v>62</v>
      </c>
      <c r="F13" s="3" t="n">
        <v>34</v>
      </c>
      <c r="G13" s="3" t="s">
        <v>75</v>
      </c>
      <c r="H13" s="3" t="s">
        <v>76</v>
      </c>
      <c r="I13" s="3" t="s">
        <v>20</v>
      </c>
      <c r="J13" s="3" t="s">
        <v>21</v>
      </c>
      <c r="K13" s="3" t="s">
        <v>22</v>
      </c>
      <c r="L13" s="3" t="s">
        <v>22</v>
      </c>
      <c r="M13" s="5" t="s">
        <v>29</v>
      </c>
      <c r="N13" s="3" t="s">
        <v>77</v>
      </c>
    </row>
    <row r="14" customFormat="false" ht="15" hidden="false" customHeight="true" outlineLevel="0" collapsed="false">
      <c r="A14" s="3" t="s">
        <v>78</v>
      </c>
      <c r="B14" s="3" t="s">
        <v>15</v>
      </c>
      <c r="C14" s="3" t="n">
        <v>13</v>
      </c>
      <c r="D14" s="3" t="s">
        <v>62</v>
      </c>
      <c r="E14" s="3" t="s">
        <v>62</v>
      </c>
      <c r="F14" s="3" t="n">
        <v>37</v>
      </c>
      <c r="G14" s="3" t="s">
        <v>79</v>
      </c>
      <c r="H14" s="3" t="s">
        <v>80</v>
      </c>
      <c r="I14" s="3" t="s">
        <v>20</v>
      </c>
      <c r="J14" s="3" t="s">
        <v>21</v>
      </c>
      <c r="K14" s="3" t="s">
        <v>22</v>
      </c>
      <c r="L14" s="3" t="s">
        <v>49</v>
      </c>
      <c r="M14" s="5" t="s">
        <v>29</v>
      </c>
      <c r="N14" s="3" t="s">
        <v>81</v>
      </c>
    </row>
    <row r="15" customFormat="false" ht="15" hidden="false" customHeight="true" outlineLevel="0" collapsed="false">
      <c r="A15" s="3" t="s">
        <v>82</v>
      </c>
      <c r="B15" s="3" t="s">
        <v>15</v>
      </c>
      <c r="C15" s="3" t="n">
        <v>14</v>
      </c>
      <c r="D15" s="3" t="s">
        <v>62</v>
      </c>
      <c r="E15" s="3" t="s">
        <v>83</v>
      </c>
      <c r="F15" s="3" t="n">
        <v>40</v>
      </c>
      <c r="G15" s="3" t="s">
        <v>84</v>
      </c>
      <c r="H15" s="3" t="s">
        <v>85</v>
      </c>
      <c r="I15" s="3" t="s">
        <v>20</v>
      </c>
      <c r="J15" s="3" t="s">
        <v>21</v>
      </c>
      <c r="K15" s="3" t="s">
        <v>22</v>
      </c>
      <c r="L15" s="3" t="s">
        <v>28</v>
      </c>
      <c r="M15" s="5" t="s">
        <v>29</v>
      </c>
      <c r="N15" s="3" t="s">
        <v>86</v>
      </c>
    </row>
    <row r="16" customFormat="false" ht="15" hidden="false" customHeight="true" outlineLevel="0" collapsed="false">
      <c r="A16" s="3" t="s">
        <v>87</v>
      </c>
      <c r="B16" s="3" t="s">
        <v>15</v>
      </c>
      <c r="C16" s="3" t="n">
        <v>15</v>
      </c>
      <c r="D16" s="3" t="s">
        <v>62</v>
      </c>
      <c r="E16" s="3" t="s">
        <v>62</v>
      </c>
      <c r="F16" s="3" t="n">
        <v>43</v>
      </c>
      <c r="G16" s="3" t="s">
        <v>88</v>
      </c>
      <c r="H16" s="3" t="s">
        <v>85</v>
      </c>
      <c r="I16" s="3" t="s">
        <v>20</v>
      </c>
      <c r="J16" s="3" t="s">
        <v>21</v>
      </c>
      <c r="K16" s="3" t="s">
        <v>28</v>
      </c>
      <c r="L16" s="3" t="s">
        <v>28</v>
      </c>
      <c r="M16" s="5" t="s">
        <v>29</v>
      </c>
      <c r="N16" s="3" t="s">
        <v>89</v>
      </c>
    </row>
    <row r="17" customFormat="false" ht="23.25" hidden="false" customHeight="true" outlineLevel="0" collapsed="false">
      <c r="A17" s="3" t="s">
        <v>90</v>
      </c>
      <c r="B17" s="3" t="s">
        <v>15</v>
      </c>
      <c r="C17" s="3" t="n">
        <v>16</v>
      </c>
      <c r="D17" s="3" t="s">
        <v>62</v>
      </c>
      <c r="E17" s="3" t="s">
        <v>62</v>
      </c>
      <c r="F17" s="3" t="n">
        <v>46</v>
      </c>
      <c r="G17" s="3" t="s">
        <v>91</v>
      </c>
      <c r="H17" s="3" t="s">
        <v>92</v>
      </c>
      <c r="I17" s="3" t="s">
        <v>20</v>
      </c>
      <c r="J17" s="3" t="s">
        <v>21</v>
      </c>
      <c r="K17" s="3" t="s">
        <v>22</v>
      </c>
      <c r="L17" s="3" t="s">
        <v>22</v>
      </c>
      <c r="M17" s="5" t="s">
        <v>29</v>
      </c>
      <c r="N17" s="3" t="s">
        <v>93</v>
      </c>
    </row>
    <row r="18" customFormat="false" ht="34.5" hidden="false" customHeight="true" outlineLevel="0" collapsed="false">
      <c r="A18" s="3" t="s">
        <v>94</v>
      </c>
      <c r="B18" s="3" t="s">
        <v>15</v>
      </c>
      <c r="C18" s="3" t="n">
        <v>17</v>
      </c>
      <c r="D18" s="3" t="s">
        <v>95</v>
      </c>
      <c r="E18" s="3" t="s">
        <v>95</v>
      </c>
      <c r="F18" s="3" t="n">
        <v>49</v>
      </c>
      <c r="G18" s="3" t="s">
        <v>96</v>
      </c>
      <c r="H18" s="3" t="s">
        <v>97</v>
      </c>
      <c r="I18" s="3" t="s">
        <v>20</v>
      </c>
      <c r="J18" s="3" t="s">
        <v>98</v>
      </c>
      <c r="K18" s="3" t="s">
        <v>28</v>
      </c>
      <c r="L18" s="3" t="s">
        <v>43</v>
      </c>
      <c r="M18" s="8" t="s">
        <v>99</v>
      </c>
      <c r="N18" s="3" t="s">
        <v>100</v>
      </c>
    </row>
    <row r="19" customFormat="false" ht="15" hidden="false" customHeight="true" outlineLevel="0" collapsed="false">
      <c r="A19" s="3" t="s">
        <v>101</v>
      </c>
      <c r="B19" s="3" t="s">
        <v>15</v>
      </c>
      <c r="C19" s="3" t="n">
        <v>18</v>
      </c>
      <c r="D19" s="3" t="s">
        <v>95</v>
      </c>
      <c r="E19" s="3" t="s">
        <v>95</v>
      </c>
      <c r="F19" s="3" t="n">
        <v>51</v>
      </c>
      <c r="G19" s="3" t="s">
        <v>102</v>
      </c>
      <c r="H19" s="3" t="s">
        <v>103</v>
      </c>
      <c r="I19" s="3" t="s">
        <v>20</v>
      </c>
      <c r="J19" s="3" t="s">
        <v>104</v>
      </c>
      <c r="K19" s="3" t="s">
        <v>54</v>
      </c>
      <c r="L19" s="3" t="s">
        <v>54</v>
      </c>
      <c r="M19" s="6" t="s">
        <v>44</v>
      </c>
      <c r="N19" s="3" t="s">
        <v>105</v>
      </c>
    </row>
    <row r="20" customFormat="false" ht="15" hidden="false" customHeight="true" outlineLevel="0" collapsed="false">
      <c r="A20" s="3" t="s">
        <v>106</v>
      </c>
      <c r="B20" s="3" t="s">
        <v>15</v>
      </c>
      <c r="C20" s="3" t="n">
        <v>19</v>
      </c>
      <c r="D20" s="3" t="s">
        <v>95</v>
      </c>
      <c r="E20" s="3" t="s">
        <v>95</v>
      </c>
      <c r="F20" s="3" t="n">
        <v>53</v>
      </c>
      <c r="G20" s="3" t="s">
        <v>107</v>
      </c>
      <c r="H20" s="3" t="s">
        <v>108</v>
      </c>
      <c r="I20" s="3" t="s">
        <v>20</v>
      </c>
      <c r="J20" s="3" t="s">
        <v>109</v>
      </c>
      <c r="K20" s="3" t="s">
        <v>28</v>
      </c>
      <c r="L20" s="3" t="s">
        <v>43</v>
      </c>
      <c r="M20" s="6" t="s">
        <v>44</v>
      </c>
      <c r="N20" s="3" t="s">
        <v>110</v>
      </c>
    </row>
    <row r="21" customFormat="false" ht="23.25" hidden="false" customHeight="true" outlineLevel="0" collapsed="false">
      <c r="A21" s="3" t="s">
        <v>111</v>
      </c>
      <c r="B21" s="3" t="s">
        <v>15</v>
      </c>
      <c r="C21" s="3" t="n">
        <v>20</v>
      </c>
      <c r="D21" s="3" t="s">
        <v>95</v>
      </c>
      <c r="E21" s="3" t="s">
        <v>95</v>
      </c>
      <c r="F21" s="3" t="n">
        <v>56</v>
      </c>
      <c r="G21" s="3" t="s">
        <v>112</v>
      </c>
      <c r="H21" s="3" t="s">
        <v>108</v>
      </c>
      <c r="I21" s="3" t="s">
        <v>20</v>
      </c>
      <c r="J21" s="3" t="s">
        <v>21</v>
      </c>
      <c r="K21" s="3" t="s">
        <v>22</v>
      </c>
      <c r="L21" s="3" t="s">
        <v>22</v>
      </c>
      <c r="M21" s="5" t="s">
        <v>29</v>
      </c>
      <c r="N21" s="3" t="s">
        <v>113</v>
      </c>
    </row>
    <row r="22" customFormat="false" ht="15" hidden="false" customHeight="true" outlineLevel="0" collapsed="false">
      <c r="A22" s="3" t="s">
        <v>114</v>
      </c>
      <c r="B22" s="3" t="s">
        <v>15</v>
      </c>
      <c r="C22" s="3" t="n">
        <v>21</v>
      </c>
      <c r="D22" s="3" t="s">
        <v>95</v>
      </c>
      <c r="E22" s="3" t="s">
        <v>95</v>
      </c>
      <c r="F22" s="3" t="n">
        <v>59</v>
      </c>
      <c r="G22" s="3" t="s">
        <v>115</v>
      </c>
      <c r="H22" s="3" t="s">
        <v>108</v>
      </c>
      <c r="I22" s="3" t="s">
        <v>20</v>
      </c>
      <c r="J22" s="3" t="s">
        <v>116</v>
      </c>
      <c r="K22" s="3" t="s">
        <v>28</v>
      </c>
      <c r="L22" s="3" t="s">
        <v>28</v>
      </c>
      <c r="M22" s="6" t="s">
        <v>44</v>
      </c>
      <c r="N22" s="3" t="s">
        <v>110</v>
      </c>
    </row>
    <row r="23" customFormat="false" ht="15" hidden="false" customHeight="true" outlineLevel="0" collapsed="false">
      <c r="A23" s="3" t="s">
        <v>117</v>
      </c>
      <c r="B23" s="3" t="s">
        <v>15</v>
      </c>
      <c r="C23" s="3" t="n">
        <v>22</v>
      </c>
      <c r="D23" s="3" t="s">
        <v>95</v>
      </c>
      <c r="E23" s="3" t="s">
        <v>95</v>
      </c>
      <c r="F23" s="3" t="n">
        <v>62</v>
      </c>
      <c r="G23" s="3" t="s">
        <v>118</v>
      </c>
      <c r="H23" s="3" t="s">
        <v>119</v>
      </c>
      <c r="I23" s="3" t="s">
        <v>20</v>
      </c>
      <c r="J23" s="3" t="s">
        <v>21</v>
      </c>
      <c r="K23" s="3" t="s">
        <v>28</v>
      </c>
      <c r="L23" s="3" t="s">
        <v>22</v>
      </c>
      <c r="M23" s="5" t="s">
        <v>29</v>
      </c>
      <c r="N23" s="3" t="s">
        <v>120</v>
      </c>
    </row>
    <row r="24" customFormat="false" ht="15" hidden="false" customHeight="true" outlineLevel="0" collapsed="false">
      <c r="A24" s="3" t="s">
        <v>121</v>
      </c>
      <c r="B24" s="3" t="s">
        <v>15</v>
      </c>
      <c r="C24" s="3" t="n">
        <v>23</v>
      </c>
      <c r="D24" s="3" t="s">
        <v>95</v>
      </c>
      <c r="E24" s="3" t="s">
        <v>95</v>
      </c>
      <c r="F24" s="3" t="n">
        <v>64</v>
      </c>
      <c r="G24" s="3" t="s">
        <v>122</v>
      </c>
      <c r="H24" s="3" t="s">
        <v>119</v>
      </c>
      <c r="I24" s="3" t="s">
        <v>20</v>
      </c>
      <c r="J24" s="3" t="s">
        <v>123</v>
      </c>
      <c r="K24" s="3" t="s">
        <v>54</v>
      </c>
      <c r="L24" s="3" t="s">
        <v>43</v>
      </c>
      <c r="M24" s="6" t="s">
        <v>44</v>
      </c>
      <c r="N24" s="3" t="s">
        <v>124</v>
      </c>
    </row>
    <row r="25" customFormat="false" ht="23.25" hidden="false" customHeight="true" outlineLevel="0" collapsed="false">
      <c r="A25" s="3" t="s">
        <v>125</v>
      </c>
      <c r="B25" s="3" t="s">
        <v>15</v>
      </c>
      <c r="C25" s="3" t="n">
        <v>24</v>
      </c>
      <c r="D25" s="3" t="s">
        <v>95</v>
      </c>
      <c r="E25" s="3" t="s">
        <v>95</v>
      </c>
      <c r="F25" s="3" t="n">
        <v>66</v>
      </c>
      <c r="G25" s="3" t="s">
        <v>126</v>
      </c>
      <c r="H25" s="3" t="s">
        <v>127</v>
      </c>
      <c r="I25" s="3" t="s">
        <v>20</v>
      </c>
      <c r="J25" s="3" t="s">
        <v>128</v>
      </c>
      <c r="K25" s="3" t="s">
        <v>28</v>
      </c>
      <c r="L25" s="3" t="s">
        <v>28</v>
      </c>
      <c r="M25" s="5" t="s">
        <v>29</v>
      </c>
      <c r="N25" s="3" t="s">
        <v>129</v>
      </c>
    </row>
    <row r="26" customFormat="false" ht="23.25" hidden="false" customHeight="true" outlineLevel="0" collapsed="false">
      <c r="A26" s="3" t="s">
        <v>130</v>
      </c>
      <c r="B26" s="3" t="s">
        <v>15</v>
      </c>
      <c r="C26" s="3" t="n">
        <v>25</v>
      </c>
      <c r="D26" s="3" t="s">
        <v>131</v>
      </c>
      <c r="E26" s="3" t="s">
        <v>132</v>
      </c>
      <c r="F26" s="3" t="n">
        <v>69</v>
      </c>
      <c r="G26" s="3" t="s">
        <v>133</v>
      </c>
      <c r="H26" s="3" t="s">
        <v>80</v>
      </c>
      <c r="I26" s="3" t="s">
        <v>20</v>
      </c>
      <c r="J26" s="3" t="s">
        <v>21</v>
      </c>
      <c r="K26" s="3" t="s">
        <v>54</v>
      </c>
      <c r="L26" s="3" t="s">
        <v>28</v>
      </c>
      <c r="M26" s="9" t="s">
        <v>134</v>
      </c>
      <c r="N26" s="3" t="s">
        <v>135</v>
      </c>
    </row>
    <row r="27" customFormat="false" ht="23.25" hidden="false" customHeight="true" outlineLevel="0" collapsed="false">
      <c r="A27" s="3" t="s">
        <v>136</v>
      </c>
      <c r="B27" s="3" t="s">
        <v>15</v>
      </c>
      <c r="C27" s="3" t="n">
        <v>26</v>
      </c>
      <c r="D27" s="3" t="s">
        <v>131</v>
      </c>
      <c r="E27" s="3" t="s">
        <v>132</v>
      </c>
      <c r="F27" s="3" t="n">
        <v>72</v>
      </c>
      <c r="G27" s="3" t="s">
        <v>137</v>
      </c>
      <c r="H27" s="3" t="s">
        <v>138</v>
      </c>
      <c r="I27" s="3" t="s">
        <v>20</v>
      </c>
      <c r="J27" s="3" t="s">
        <v>21</v>
      </c>
      <c r="K27" s="3" t="s">
        <v>54</v>
      </c>
      <c r="L27" s="3" t="s">
        <v>22</v>
      </c>
      <c r="M27" s="9" t="s">
        <v>134</v>
      </c>
      <c r="N27" s="3" t="s">
        <v>139</v>
      </c>
    </row>
    <row r="28" customFormat="false" ht="15" hidden="false" customHeight="true" outlineLevel="0" collapsed="false">
      <c r="A28" s="3" t="s">
        <v>140</v>
      </c>
      <c r="B28" s="3" t="s">
        <v>15</v>
      </c>
      <c r="C28" s="3" t="n">
        <v>27</v>
      </c>
      <c r="D28" s="3" t="s">
        <v>131</v>
      </c>
      <c r="E28" s="3" t="s">
        <v>132</v>
      </c>
      <c r="F28" s="3" t="n">
        <v>75</v>
      </c>
      <c r="G28" s="3" t="s">
        <v>141</v>
      </c>
      <c r="H28" s="3" t="s">
        <v>142</v>
      </c>
      <c r="I28" s="3" t="s">
        <v>20</v>
      </c>
      <c r="J28" s="3" t="s">
        <v>21</v>
      </c>
      <c r="K28" s="3" t="s">
        <v>22</v>
      </c>
      <c r="L28" s="3" t="s">
        <v>22</v>
      </c>
      <c r="M28" s="5" t="s">
        <v>29</v>
      </c>
      <c r="N28" s="3" t="s">
        <v>37</v>
      </c>
    </row>
    <row r="29" customFormat="false" ht="15" hidden="false" customHeight="true" outlineLevel="0" collapsed="false">
      <c r="A29" s="3" t="s">
        <v>143</v>
      </c>
      <c r="B29" s="3" t="s">
        <v>15</v>
      </c>
      <c r="C29" s="3" t="n">
        <v>28</v>
      </c>
      <c r="D29" s="3" t="s">
        <v>131</v>
      </c>
      <c r="E29" s="3" t="s">
        <v>132</v>
      </c>
      <c r="F29" s="3" t="n">
        <v>78</v>
      </c>
      <c r="G29" s="3" t="s">
        <v>144</v>
      </c>
      <c r="H29" s="3" t="s">
        <v>145</v>
      </c>
      <c r="I29" s="3" t="s">
        <v>20</v>
      </c>
      <c r="J29" s="3" t="s">
        <v>21</v>
      </c>
      <c r="K29" s="3" t="s">
        <v>54</v>
      </c>
      <c r="L29" s="3" t="s">
        <v>54</v>
      </c>
      <c r="M29" s="9" t="s">
        <v>134</v>
      </c>
      <c r="N29" s="3" t="s">
        <v>146</v>
      </c>
    </row>
    <row r="30" customFormat="false" ht="23.25" hidden="false" customHeight="true" outlineLevel="0" collapsed="false">
      <c r="A30" s="3" t="s">
        <v>147</v>
      </c>
      <c r="B30" s="3" t="s">
        <v>15</v>
      </c>
      <c r="C30" s="3" t="n">
        <v>29</v>
      </c>
      <c r="D30" s="3" t="s">
        <v>148</v>
      </c>
      <c r="E30" s="3" t="s">
        <v>148</v>
      </c>
      <c r="F30" s="3" t="n">
        <v>80</v>
      </c>
      <c r="G30" s="3" t="s">
        <v>149</v>
      </c>
      <c r="H30" s="3" t="s">
        <v>150</v>
      </c>
      <c r="I30" s="3" t="s">
        <v>20</v>
      </c>
      <c r="J30" s="3" t="s">
        <v>21</v>
      </c>
      <c r="K30" s="3" t="s">
        <v>28</v>
      </c>
      <c r="L30" s="3" t="s">
        <v>49</v>
      </c>
      <c r="M30" s="5" t="s">
        <v>29</v>
      </c>
      <c r="N30" s="3" t="s">
        <v>151</v>
      </c>
    </row>
    <row r="31" customFormat="false" ht="15" hidden="false" customHeight="true" outlineLevel="0" collapsed="false">
      <c r="A31" s="3" t="s">
        <v>152</v>
      </c>
      <c r="B31" s="3" t="s">
        <v>15</v>
      </c>
      <c r="C31" s="3" t="n">
        <v>30</v>
      </c>
      <c r="D31" s="3" t="s">
        <v>148</v>
      </c>
      <c r="E31" s="3" t="s">
        <v>148</v>
      </c>
      <c r="F31" s="3" t="n">
        <v>82</v>
      </c>
      <c r="G31" s="3" t="s">
        <v>153</v>
      </c>
      <c r="H31" s="3" t="s">
        <v>154</v>
      </c>
      <c r="I31" s="3" t="s">
        <v>20</v>
      </c>
      <c r="J31" s="3" t="s">
        <v>21</v>
      </c>
      <c r="K31" s="3" t="s">
        <v>22</v>
      </c>
      <c r="L31" s="3" t="s">
        <v>22</v>
      </c>
      <c r="M31" s="5" t="s">
        <v>29</v>
      </c>
      <c r="N31" s="3" t="s">
        <v>155</v>
      </c>
    </row>
    <row r="32" customFormat="false" ht="23.25" hidden="false" customHeight="true" outlineLevel="0" collapsed="false">
      <c r="A32" s="3" t="s">
        <v>156</v>
      </c>
      <c r="B32" s="3" t="s">
        <v>157</v>
      </c>
      <c r="C32" s="3" t="n">
        <v>1</v>
      </c>
      <c r="D32" s="3" t="s">
        <v>158</v>
      </c>
      <c r="E32" s="3" t="s">
        <v>158</v>
      </c>
      <c r="F32" s="3" t="n">
        <v>1</v>
      </c>
      <c r="G32" s="3" t="s">
        <v>18</v>
      </c>
      <c r="H32" s="3" t="s">
        <v>159</v>
      </c>
      <c r="I32" s="3" t="s">
        <v>160</v>
      </c>
      <c r="J32" s="3" t="s">
        <v>21</v>
      </c>
      <c r="K32" s="3" t="s">
        <v>22</v>
      </c>
      <c r="L32" s="3" t="s">
        <v>28</v>
      </c>
      <c r="M32" s="5" t="s">
        <v>29</v>
      </c>
      <c r="N32" s="3" t="s">
        <v>161</v>
      </c>
    </row>
    <row r="33" customFormat="false" ht="23.25" hidden="false" customHeight="true" outlineLevel="0" collapsed="false">
      <c r="A33" s="3" t="s">
        <v>162</v>
      </c>
      <c r="B33" s="3" t="s">
        <v>157</v>
      </c>
      <c r="C33" s="3" t="n">
        <v>2</v>
      </c>
      <c r="D33" s="3" t="s">
        <v>158</v>
      </c>
      <c r="E33" s="3" t="s">
        <v>163</v>
      </c>
      <c r="F33" s="3" t="n">
        <v>4</v>
      </c>
      <c r="G33" s="3" t="s">
        <v>26</v>
      </c>
      <c r="H33" s="3" t="s">
        <v>164</v>
      </c>
      <c r="I33" s="3" t="s">
        <v>165</v>
      </c>
      <c r="J33" s="3" t="s">
        <v>21</v>
      </c>
      <c r="K33" s="3" t="s">
        <v>22</v>
      </c>
      <c r="L33" s="3" t="s">
        <v>22</v>
      </c>
      <c r="M33" s="4" t="s">
        <v>23</v>
      </c>
      <c r="N33" s="3" t="s">
        <v>166</v>
      </c>
    </row>
    <row r="34" customFormat="false" ht="23.25" hidden="false" customHeight="true" outlineLevel="0" collapsed="false">
      <c r="A34" s="3" t="s">
        <v>167</v>
      </c>
      <c r="B34" s="3" t="s">
        <v>157</v>
      </c>
      <c r="C34" s="3" t="n">
        <v>3</v>
      </c>
      <c r="D34" s="3" t="s">
        <v>158</v>
      </c>
      <c r="E34" s="3" t="s">
        <v>158</v>
      </c>
      <c r="F34" s="3" t="n">
        <v>7</v>
      </c>
      <c r="G34" s="3" t="s">
        <v>32</v>
      </c>
      <c r="H34" s="3" t="s">
        <v>168</v>
      </c>
      <c r="I34" s="3" t="s">
        <v>169</v>
      </c>
      <c r="J34" s="3" t="s">
        <v>21</v>
      </c>
      <c r="K34" s="3" t="s">
        <v>22</v>
      </c>
      <c r="L34" s="3" t="s">
        <v>22</v>
      </c>
      <c r="M34" s="4" t="s">
        <v>23</v>
      </c>
      <c r="N34" s="3" t="s">
        <v>170</v>
      </c>
    </row>
    <row r="35" customFormat="false" ht="23.25" hidden="false" customHeight="true" outlineLevel="0" collapsed="false">
      <c r="A35" s="3" t="s">
        <v>171</v>
      </c>
      <c r="B35" s="3" t="s">
        <v>157</v>
      </c>
      <c r="C35" s="3" t="n">
        <v>4</v>
      </c>
      <c r="D35" s="3" t="s">
        <v>158</v>
      </c>
      <c r="E35" s="3" t="s">
        <v>158</v>
      </c>
      <c r="F35" s="3" t="n">
        <v>10</v>
      </c>
      <c r="G35" s="3" t="s">
        <v>35</v>
      </c>
      <c r="H35" s="3" t="s">
        <v>172</v>
      </c>
      <c r="I35" s="3" t="s">
        <v>173</v>
      </c>
      <c r="J35" s="3" t="s">
        <v>21</v>
      </c>
      <c r="K35" s="3" t="s">
        <v>22</v>
      </c>
      <c r="L35" s="3" t="s">
        <v>49</v>
      </c>
      <c r="M35" s="5" t="s">
        <v>29</v>
      </c>
      <c r="N35" s="3" t="s">
        <v>174</v>
      </c>
    </row>
    <row r="36" customFormat="false" ht="23.25" hidden="false" customHeight="true" outlineLevel="0" collapsed="false">
      <c r="A36" s="3" t="s">
        <v>175</v>
      </c>
      <c r="B36" s="3" t="s">
        <v>157</v>
      </c>
      <c r="C36" s="3" t="n">
        <v>5</v>
      </c>
      <c r="D36" s="3" t="s">
        <v>158</v>
      </c>
      <c r="E36" s="3" t="s">
        <v>158</v>
      </c>
      <c r="F36" s="3" t="n">
        <v>13</v>
      </c>
      <c r="G36" s="3" t="s">
        <v>40</v>
      </c>
      <c r="H36" s="3" t="s">
        <v>176</v>
      </c>
      <c r="I36" s="3" t="s">
        <v>177</v>
      </c>
      <c r="J36" s="3" t="s">
        <v>21</v>
      </c>
      <c r="K36" s="3" t="s">
        <v>28</v>
      </c>
      <c r="L36" s="3" t="s">
        <v>22</v>
      </c>
      <c r="M36" s="5" t="s">
        <v>29</v>
      </c>
      <c r="N36" s="3" t="s">
        <v>120</v>
      </c>
    </row>
    <row r="37" customFormat="false" ht="23.25" hidden="false" customHeight="true" outlineLevel="0" collapsed="false">
      <c r="A37" s="3" t="s">
        <v>178</v>
      </c>
      <c r="B37" s="3" t="s">
        <v>157</v>
      </c>
      <c r="C37" s="3" t="n">
        <v>6</v>
      </c>
      <c r="D37" s="3" t="s">
        <v>158</v>
      </c>
      <c r="E37" s="3" t="s">
        <v>158</v>
      </c>
      <c r="F37" s="3" t="n">
        <v>16</v>
      </c>
      <c r="G37" s="3" t="s">
        <v>47</v>
      </c>
      <c r="H37" s="3" t="s">
        <v>179</v>
      </c>
      <c r="I37" s="3" t="s">
        <v>180</v>
      </c>
      <c r="J37" s="3" t="s">
        <v>21</v>
      </c>
      <c r="K37" s="3" t="s">
        <v>22</v>
      </c>
      <c r="L37" s="3" t="s">
        <v>22</v>
      </c>
      <c r="M37" s="5" t="s">
        <v>29</v>
      </c>
      <c r="N37" s="3" t="s">
        <v>181</v>
      </c>
    </row>
    <row r="38" customFormat="false" ht="23.25" hidden="false" customHeight="true" outlineLevel="0" collapsed="false">
      <c r="A38" s="3" t="s">
        <v>182</v>
      </c>
      <c r="B38" s="3" t="s">
        <v>157</v>
      </c>
      <c r="C38" s="3" t="n">
        <v>7</v>
      </c>
      <c r="D38" s="3" t="s">
        <v>158</v>
      </c>
      <c r="E38" s="3" t="s">
        <v>158</v>
      </c>
      <c r="F38" s="3" t="n">
        <v>19</v>
      </c>
      <c r="G38" s="3" t="s">
        <v>53</v>
      </c>
      <c r="H38" s="3" t="s">
        <v>183</v>
      </c>
      <c r="I38" s="3" t="s">
        <v>184</v>
      </c>
      <c r="J38" s="3" t="s">
        <v>21</v>
      </c>
      <c r="K38" s="3" t="s">
        <v>22</v>
      </c>
      <c r="L38" s="3" t="s">
        <v>28</v>
      </c>
      <c r="M38" s="5" t="s">
        <v>29</v>
      </c>
      <c r="N38" s="3" t="s">
        <v>120</v>
      </c>
    </row>
  </sheetData>
  <autoFilter ref="A1:N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10"/>
    <col collapsed="false" customWidth="true" hidden="false" outlineLevel="0" max="4" min="4" style="1" width="18"/>
    <col collapsed="false" customWidth="true" hidden="false" outlineLevel="0" max="6" min="5" style="1" width="8"/>
    <col collapsed="false" customWidth="true" hidden="false" outlineLevel="0" max="7" min="7" style="1" width="20"/>
    <col collapsed="false" customWidth="true" hidden="false" outlineLevel="0" max="8" min="8" style="1" width="24"/>
  </cols>
  <sheetData>
    <row r="1" customFormat="false" ht="15" hidden="false" customHeight="true" outlineLevel="0" collapsed="false">
      <c r="A1" s="10" t="s">
        <v>185</v>
      </c>
      <c r="B1" s="11" t="n">
        <v>5</v>
      </c>
      <c r="C1" s="10" t="s">
        <v>186</v>
      </c>
    </row>
    <row r="2" customFormat="false" ht="15" hidden="false" customHeight="true" outlineLevel="0" collapsed="false">
      <c r="A2" s="10" t="s">
        <v>187</v>
      </c>
      <c r="B2" s="11" t="n">
        <v>30</v>
      </c>
      <c r="C2" s="10" t="s">
        <v>188</v>
      </c>
    </row>
    <row r="4" customFormat="false" ht="45" hidden="false" customHeight="true" outlineLevel="0" collapsed="false">
      <c r="A4" s="12" t="s">
        <v>3</v>
      </c>
      <c r="B4" s="12" t="s">
        <v>189</v>
      </c>
      <c r="C4" s="12" t="s">
        <v>190</v>
      </c>
      <c r="D4" s="12" t="s">
        <v>191</v>
      </c>
      <c r="E4" s="12" t="s">
        <v>192</v>
      </c>
      <c r="F4" s="12" t="s">
        <v>55</v>
      </c>
      <c r="G4" s="12" t="s">
        <v>193</v>
      </c>
      <c r="H4" s="12" t="s">
        <v>194</v>
      </c>
    </row>
    <row r="5" customFormat="false" ht="15" hidden="false" customHeight="true" outlineLevel="0" collapsed="false">
      <c r="A5" s="10" t="s">
        <v>16</v>
      </c>
      <c r="B5" s="10" t="n">
        <f aca="false">COUNTIF('Corpus selection'!$D$2:$D$38,A5)</f>
        <v>8</v>
      </c>
      <c r="C5" s="10" t="n">
        <f aca="false">COUNTIFS('Corpus selection'!$D$2:$D$38,A5,'Corpus selection'!$M$2:$M$38,"Exclude")</f>
        <v>1</v>
      </c>
      <c r="D5" s="10" t="n">
        <f aca="false">COUNTIFS('Corpus selection'!$D$2:$D$38,A5,'Corpus selection'!$M$2:$M$38,"Retain*")</f>
        <v>6</v>
      </c>
      <c r="E5" s="10" t="n">
        <f aca="false">COUNTIFS('Corpus selection'!$D$2:$D$38,A5,'Corpus selection'!$M$2:$M$38,"Hold")</f>
        <v>0</v>
      </c>
      <c r="F5" s="10" t="n">
        <f aca="false">COUNTIFS('Corpus selection'!$D$2:$D$38,A5,'Corpus selection'!$M$2:$M$38,"Spare")</f>
        <v>1</v>
      </c>
      <c r="G5" s="10" t="n">
        <f aca="false">MAX(0,$B$1-D5)</f>
        <v>0</v>
      </c>
      <c r="H5" s="10" t="n">
        <f aca="false">D5+E5+F5</f>
        <v>7</v>
      </c>
    </row>
    <row r="6" customFormat="false" ht="15" hidden="false" customHeight="true" outlineLevel="0" collapsed="false">
      <c r="A6" s="10" t="s">
        <v>62</v>
      </c>
      <c r="B6" s="10" t="n">
        <f aca="false">COUNTIF('Corpus selection'!$D$2:$D$38,A6)</f>
        <v>8</v>
      </c>
      <c r="C6" s="10" t="n">
        <f aca="false">COUNTIFS('Corpus selection'!$D$2:$D$38,A6,'Corpus selection'!$M$2:$M$38,"Exclude")</f>
        <v>0</v>
      </c>
      <c r="D6" s="10" t="n">
        <f aca="false">COUNTIFS('Corpus selection'!$D$2:$D$38,A6,'Corpus selection'!$M$2:$M$38,"Retain*")</f>
        <v>7</v>
      </c>
      <c r="E6" s="10" t="n">
        <f aca="false">COUNTIFS('Corpus selection'!$D$2:$D$38,A6,'Corpus selection'!$M$2:$M$38,"Hold")</f>
        <v>0</v>
      </c>
      <c r="F6" s="10" t="n">
        <f aca="false">COUNTIFS('Corpus selection'!$D$2:$D$38,A6,'Corpus selection'!$M$2:$M$38,"Spare")</f>
        <v>1</v>
      </c>
      <c r="G6" s="10" t="n">
        <f aca="false">MAX(0,$B$1-D6)</f>
        <v>0</v>
      </c>
      <c r="H6" s="10" t="n">
        <f aca="false">D6+E6+F6</f>
        <v>8</v>
      </c>
    </row>
    <row r="7" customFormat="false" ht="15" hidden="false" customHeight="true" outlineLevel="0" collapsed="false">
      <c r="A7" s="10" t="s">
        <v>95</v>
      </c>
      <c r="B7" s="10" t="n">
        <f aca="false">COUNTIF('Corpus selection'!$D$2:$D$38,A7)</f>
        <v>8</v>
      </c>
      <c r="C7" s="10" t="n">
        <f aca="false">COUNTIFS('Corpus selection'!$D$2:$D$38,A7,'Corpus selection'!$M$2:$M$38,"Exclude")</f>
        <v>4</v>
      </c>
      <c r="D7" s="10" t="n">
        <f aca="false">COUNTIFS('Corpus selection'!$D$2:$D$38,A7,'Corpus selection'!$M$2:$M$38,"Retain*")</f>
        <v>4</v>
      </c>
      <c r="E7" s="10" t="n">
        <f aca="false">COUNTIFS('Corpus selection'!$D$2:$D$38,A7,'Corpus selection'!$M$2:$M$38,"Hold")</f>
        <v>0</v>
      </c>
      <c r="F7" s="10" t="n">
        <f aca="false">COUNTIFS('Corpus selection'!$D$2:$D$38,A7,'Corpus selection'!$M$2:$M$38,"Spare")</f>
        <v>0</v>
      </c>
      <c r="G7" s="10" t="n">
        <f aca="false">MAX(0,$B$1-D7)</f>
        <v>1</v>
      </c>
      <c r="H7" s="10" t="n">
        <f aca="false">D7+E7+F7</f>
        <v>4</v>
      </c>
    </row>
    <row r="8" customFormat="false" ht="15" hidden="false" customHeight="true" outlineLevel="0" collapsed="false">
      <c r="A8" s="10" t="s">
        <v>131</v>
      </c>
      <c r="B8" s="10" t="n">
        <f aca="false">COUNTIF('Corpus selection'!$D$2:$D$38,A8)</f>
        <v>4</v>
      </c>
      <c r="C8" s="10" t="n">
        <f aca="false">COUNTIFS('Corpus selection'!$D$2:$D$38,A8,'Corpus selection'!$M$2:$M$38,"Exclude")</f>
        <v>0</v>
      </c>
      <c r="D8" s="10" t="n">
        <f aca="false">COUNTIFS('Corpus selection'!$D$2:$D$38,A8,'Corpus selection'!$M$2:$M$38,"Retain*")</f>
        <v>4</v>
      </c>
      <c r="E8" s="10" t="n">
        <f aca="false">COUNTIFS('Corpus selection'!$D$2:$D$38,A8,'Corpus selection'!$M$2:$M$38,"Hold")</f>
        <v>0</v>
      </c>
      <c r="F8" s="10" t="n">
        <f aca="false">COUNTIFS('Corpus selection'!$D$2:$D$38,A8,'Corpus selection'!$M$2:$M$38,"Spare")</f>
        <v>0</v>
      </c>
      <c r="G8" s="10" t="n">
        <f aca="false">MAX(0,$B$1-D8)</f>
        <v>1</v>
      </c>
      <c r="H8" s="10" t="n">
        <f aca="false">D8+E8+F8</f>
        <v>4</v>
      </c>
    </row>
    <row r="9" customFormat="false" ht="15" hidden="false" customHeight="true" outlineLevel="0" collapsed="false">
      <c r="A9" s="10" t="s">
        <v>148</v>
      </c>
      <c r="B9" s="10" t="n">
        <f aca="false">COUNTIF('Corpus selection'!$D$2:$D$38,A9)</f>
        <v>2</v>
      </c>
      <c r="C9" s="10" t="n">
        <f aca="false">COUNTIFS('Corpus selection'!$D$2:$D$38,A9,'Corpus selection'!$M$2:$M$38,"Exclude")</f>
        <v>0</v>
      </c>
      <c r="D9" s="10" t="n">
        <f aca="false">COUNTIFS('Corpus selection'!$D$2:$D$38,A9,'Corpus selection'!$M$2:$M$38,"Retain*")</f>
        <v>2</v>
      </c>
      <c r="E9" s="10" t="n">
        <f aca="false">COUNTIFS('Corpus selection'!$D$2:$D$38,A9,'Corpus selection'!$M$2:$M$38,"Hold")</f>
        <v>0</v>
      </c>
      <c r="F9" s="10" t="n">
        <f aca="false">COUNTIFS('Corpus selection'!$D$2:$D$38,A9,'Corpus selection'!$M$2:$M$38,"Spare")</f>
        <v>0</v>
      </c>
      <c r="G9" s="10" t="n">
        <f aca="false">MAX(0,$B$1-D9)</f>
        <v>3</v>
      </c>
      <c r="H9" s="10" t="n">
        <f aca="false">D9+E9+F9</f>
        <v>2</v>
      </c>
    </row>
    <row r="10" customFormat="false" ht="15" hidden="false" customHeight="true" outlineLevel="0" collapsed="false">
      <c r="A10" s="10" t="s">
        <v>158</v>
      </c>
      <c r="B10" s="10" t="n">
        <f aca="false">COUNTIF('Corpus selection'!$D$2:$D$38,A10)</f>
        <v>7</v>
      </c>
      <c r="C10" s="10" t="n">
        <f aca="false">COUNTIFS('Corpus selection'!$D$2:$D$38,A10,'Corpus selection'!$M$2:$M$38,"Exclude")</f>
        <v>0</v>
      </c>
      <c r="D10" s="10" t="n">
        <f aca="false">COUNTIFS('Corpus selection'!$D$2:$D$38,A10,'Corpus selection'!$M$2:$M$38,"Retain*")</f>
        <v>7</v>
      </c>
      <c r="E10" s="10" t="n">
        <f aca="false">COUNTIFS('Corpus selection'!$D$2:$D$38,A10,'Corpus selection'!$M$2:$M$38,"Hold")</f>
        <v>0</v>
      </c>
      <c r="F10" s="10" t="n">
        <f aca="false">COUNTIFS('Corpus selection'!$D$2:$D$38,A10,'Corpus selection'!$M$2:$M$38,"Spare")</f>
        <v>0</v>
      </c>
      <c r="G10" s="10" t="n">
        <f aca="false">MAX(0,$B$1-D10)</f>
        <v>0</v>
      </c>
      <c r="H10" s="10" t="n">
        <f aca="false">D10+E10+F10</f>
        <v>7</v>
      </c>
    </row>
    <row r="11" customFormat="false" ht="15" hidden="false" customHeight="true" outlineLevel="0" collapsed="false">
      <c r="A11" s="13" t="s">
        <v>195</v>
      </c>
      <c r="B11" s="13" t="n">
        <f aca="false">SUM(B5:B10)</f>
        <v>37</v>
      </c>
      <c r="C11" s="13" t="n">
        <f aca="false">SUM(C5:C10)</f>
        <v>5</v>
      </c>
      <c r="D11" s="13" t="n">
        <f aca="false">SUM(D5:D10)</f>
        <v>30</v>
      </c>
      <c r="E11" s="13" t="n">
        <f aca="false">SUM(E5:E10)</f>
        <v>0</v>
      </c>
      <c r="F11" s="13" t="n">
        <f aca="false">SUM(F5:F10)</f>
        <v>2</v>
      </c>
      <c r="G11" s="13" t="n">
        <f aca="false">SUM(G5:G10)</f>
        <v>5</v>
      </c>
      <c r="H11" s="13" t="n">
        <f aca="false">SUM(H5:H10)</f>
        <v>32</v>
      </c>
    </row>
    <row r="13" customFormat="false" ht="15" hidden="false" customHeight="true" outlineLevel="0" collapsed="false">
      <c r="A13" s="10" t="s">
        <v>196</v>
      </c>
      <c r="D13" s="10" t="n">
        <f aca="false">$B$2-D11</f>
        <v>0</v>
      </c>
    </row>
    <row r="14" customFormat="false" ht="15" hidden="false" customHeight="true" outlineLevel="0" collapsed="false">
      <c r="A14" s="10" t="s">
        <v>197</v>
      </c>
      <c r="D14" s="10" t="n">
        <f aca="false">$B$2-H11</f>
        <v>-2</v>
      </c>
    </row>
    <row r="16" customFormat="false" ht="15" hidden="false" customHeight="true" outlineLevel="0" collapsed="false">
      <c r="A16" s="10"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22"/>
    <col collapsed="false" customWidth="true" hidden="false" outlineLevel="0" max="4" min="4" style="0" width="14"/>
    <col collapsed="false" customWidth="true" hidden="false" outlineLevel="0" max="5" min="5" style="0" width="26"/>
  </cols>
  <sheetData>
    <row r="1" customFormat="false" ht="26.85" hidden="false" customHeight="false" outlineLevel="0" collapsed="false">
      <c r="A1" s="2" t="s">
        <v>199</v>
      </c>
      <c r="B1" s="2" t="s">
        <v>200</v>
      </c>
      <c r="C1" s="2" t="s">
        <v>201</v>
      </c>
      <c r="D1" s="2" t="s">
        <v>202</v>
      </c>
      <c r="E1" s="2" t="s">
        <v>203</v>
      </c>
    </row>
    <row r="2" customFormat="false" ht="15" hidden="false" customHeight="false" outlineLevel="0" collapsed="false">
      <c r="A2" s="14" t="s">
        <v>204</v>
      </c>
      <c r="B2" s="14" t="s">
        <v>14</v>
      </c>
      <c r="C2" s="14" t="s">
        <v>16</v>
      </c>
      <c r="D2" s="14" t="s">
        <v>205</v>
      </c>
      <c r="E2" s="14" t="s">
        <v>17</v>
      </c>
    </row>
    <row r="3" customFormat="false" ht="15" hidden="false" customHeight="false" outlineLevel="0" collapsed="false">
      <c r="A3" s="14" t="s">
        <v>206</v>
      </c>
      <c r="B3" s="14" t="s">
        <v>14</v>
      </c>
      <c r="C3" s="14" t="s">
        <v>16</v>
      </c>
      <c r="D3" s="14" t="s">
        <v>207</v>
      </c>
      <c r="E3" s="14" t="s">
        <v>208</v>
      </c>
    </row>
    <row r="4" customFormat="false" ht="15" hidden="false" customHeight="false" outlineLevel="0" collapsed="false">
      <c r="A4" s="14" t="s">
        <v>209</v>
      </c>
      <c r="B4" s="14" t="s">
        <v>14</v>
      </c>
      <c r="C4" s="14" t="s">
        <v>16</v>
      </c>
      <c r="D4" s="14" t="s">
        <v>210</v>
      </c>
      <c r="E4" s="14" t="s">
        <v>211</v>
      </c>
    </row>
    <row r="5" customFormat="false" ht="15" hidden="false" customHeight="false" outlineLevel="0" collapsed="false">
      <c r="A5" s="14" t="s">
        <v>212</v>
      </c>
      <c r="B5" s="14" t="s">
        <v>25</v>
      </c>
      <c r="C5" s="14" t="s">
        <v>16</v>
      </c>
      <c r="D5" s="14" t="s">
        <v>213</v>
      </c>
      <c r="E5" s="14" t="s">
        <v>16</v>
      </c>
    </row>
    <row r="6" customFormat="false" ht="15" hidden="false" customHeight="false" outlineLevel="0" collapsed="false">
      <c r="A6" s="14" t="s">
        <v>214</v>
      </c>
      <c r="B6" s="14" t="s">
        <v>25</v>
      </c>
      <c r="C6" s="14" t="s">
        <v>16</v>
      </c>
      <c r="D6" s="14" t="s">
        <v>215</v>
      </c>
      <c r="E6" s="14" t="s">
        <v>216</v>
      </c>
    </row>
    <row r="7" customFormat="false" ht="15" hidden="false" customHeight="false" outlineLevel="0" collapsed="false">
      <c r="A7" s="14" t="s">
        <v>217</v>
      </c>
      <c r="B7" s="14" t="s">
        <v>25</v>
      </c>
      <c r="C7" s="14" t="s">
        <v>16</v>
      </c>
      <c r="D7" s="14" t="s">
        <v>218</v>
      </c>
      <c r="E7" s="14" t="s">
        <v>219</v>
      </c>
    </row>
    <row r="8" customFormat="false" ht="15" hidden="false" customHeight="false" outlineLevel="0" collapsed="false">
      <c r="A8" s="14" t="s">
        <v>220</v>
      </c>
      <c r="B8" s="14" t="s">
        <v>31</v>
      </c>
      <c r="C8" s="14" t="s">
        <v>16</v>
      </c>
      <c r="D8" s="14" t="s">
        <v>221</v>
      </c>
      <c r="E8" s="14" t="s">
        <v>16</v>
      </c>
    </row>
    <row r="9" customFormat="false" ht="15" hidden="false" customHeight="false" outlineLevel="0" collapsed="false">
      <c r="A9" s="14" t="s">
        <v>222</v>
      </c>
      <c r="B9" s="14" t="s">
        <v>31</v>
      </c>
      <c r="C9" s="14" t="s">
        <v>16</v>
      </c>
      <c r="D9" s="14" t="s">
        <v>223</v>
      </c>
      <c r="E9" s="14" t="s">
        <v>224</v>
      </c>
    </row>
    <row r="10" customFormat="false" ht="15" hidden="false" customHeight="false" outlineLevel="0" collapsed="false">
      <c r="A10" s="14" t="s">
        <v>225</v>
      </c>
      <c r="B10" s="14" t="s">
        <v>31</v>
      </c>
      <c r="C10" s="14" t="s">
        <v>16</v>
      </c>
      <c r="D10" s="14" t="s">
        <v>226</v>
      </c>
      <c r="E10" s="14" t="s">
        <v>227</v>
      </c>
    </row>
    <row r="11" customFormat="false" ht="15" hidden="false" customHeight="false" outlineLevel="0" collapsed="false">
      <c r="A11" s="14" t="s">
        <v>228</v>
      </c>
      <c r="B11" s="14" t="s">
        <v>34</v>
      </c>
      <c r="C11" s="14" t="s">
        <v>16</v>
      </c>
      <c r="D11" s="14" t="s">
        <v>229</v>
      </c>
      <c r="E11" s="14" t="s">
        <v>16</v>
      </c>
    </row>
    <row r="12" customFormat="false" ht="15" hidden="false" customHeight="false" outlineLevel="0" collapsed="false">
      <c r="A12" s="14" t="s">
        <v>230</v>
      </c>
      <c r="B12" s="14" t="s">
        <v>34</v>
      </c>
      <c r="C12" s="14" t="s">
        <v>16</v>
      </c>
      <c r="D12" s="14" t="s">
        <v>231</v>
      </c>
      <c r="E12" s="14" t="s">
        <v>232</v>
      </c>
    </row>
    <row r="13" customFormat="false" ht="15" hidden="false" customHeight="false" outlineLevel="0" collapsed="false">
      <c r="A13" s="14" t="s">
        <v>233</v>
      </c>
      <c r="B13" s="14" t="s">
        <v>34</v>
      </c>
      <c r="C13" s="14" t="s">
        <v>16</v>
      </c>
      <c r="D13" s="14" t="s">
        <v>234</v>
      </c>
      <c r="E13" s="14" t="s">
        <v>235</v>
      </c>
    </row>
    <row r="14" customFormat="false" ht="15" hidden="false" customHeight="false" outlineLevel="0" collapsed="false">
      <c r="A14" s="14" t="s">
        <v>236</v>
      </c>
      <c r="B14" s="14" t="s">
        <v>46</v>
      </c>
      <c r="C14" s="14" t="s">
        <v>16</v>
      </c>
      <c r="D14" s="14" t="s">
        <v>237</v>
      </c>
      <c r="E14" s="14" t="s">
        <v>16</v>
      </c>
    </row>
    <row r="15" customFormat="false" ht="15" hidden="false" customHeight="false" outlineLevel="0" collapsed="false">
      <c r="A15" s="14" t="s">
        <v>238</v>
      </c>
      <c r="B15" s="14" t="s">
        <v>46</v>
      </c>
      <c r="C15" s="14" t="s">
        <v>16</v>
      </c>
      <c r="D15" s="14" t="s">
        <v>239</v>
      </c>
      <c r="E15" s="14" t="s">
        <v>240</v>
      </c>
    </row>
    <row r="16" customFormat="false" ht="15" hidden="false" customHeight="false" outlineLevel="0" collapsed="false">
      <c r="A16" s="14" t="s">
        <v>241</v>
      </c>
      <c r="B16" s="14" t="s">
        <v>46</v>
      </c>
      <c r="C16" s="14" t="s">
        <v>16</v>
      </c>
      <c r="D16" s="14" t="s">
        <v>242</v>
      </c>
      <c r="E16" s="14" t="s">
        <v>243</v>
      </c>
    </row>
    <row r="17" customFormat="false" ht="15" hidden="false" customHeight="false" outlineLevel="0" collapsed="false">
      <c r="A17" s="14" t="s">
        <v>244</v>
      </c>
      <c r="B17" s="14" t="s">
        <v>57</v>
      </c>
      <c r="C17" s="14" t="s">
        <v>16</v>
      </c>
      <c r="D17" s="14" t="s">
        <v>245</v>
      </c>
      <c r="E17" s="14" t="s">
        <v>16</v>
      </c>
    </row>
    <row r="18" customFormat="false" ht="15" hidden="false" customHeight="false" outlineLevel="0" collapsed="false">
      <c r="A18" s="14" t="s">
        <v>246</v>
      </c>
      <c r="B18" s="14" t="s">
        <v>57</v>
      </c>
      <c r="C18" s="14" t="s">
        <v>16</v>
      </c>
      <c r="D18" s="14" t="s">
        <v>247</v>
      </c>
      <c r="E18" s="14" t="s">
        <v>248</v>
      </c>
    </row>
    <row r="19" customFormat="false" ht="15" hidden="false" customHeight="false" outlineLevel="0" collapsed="false">
      <c r="A19" s="14" t="s">
        <v>249</v>
      </c>
      <c r="B19" s="14" t="s">
        <v>57</v>
      </c>
      <c r="C19" s="14" t="s">
        <v>16</v>
      </c>
      <c r="D19" s="14" t="s">
        <v>250</v>
      </c>
      <c r="E19" s="14" t="s">
        <v>251</v>
      </c>
    </row>
    <row r="20" customFormat="false" ht="15" hidden="false" customHeight="false" outlineLevel="0" collapsed="false">
      <c r="A20" s="14" t="s">
        <v>252</v>
      </c>
      <c r="B20" s="14" t="s">
        <v>61</v>
      </c>
      <c r="C20" s="14" t="s">
        <v>62</v>
      </c>
      <c r="D20" s="14" t="s">
        <v>253</v>
      </c>
      <c r="E20" s="14" t="s">
        <v>62</v>
      </c>
    </row>
    <row r="21" customFormat="false" ht="15" hidden="false" customHeight="false" outlineLevel="0" collapsed="false">
      <c r="A21" s="14" t="s">
        <v>254</v>
      </c>
      <c r="B21" s="14" t="s">
        <v>61</v>
      </c>
      <c r="C21" s="14" t="s">
        <v>62</v>
      </c>
      <c r="D21" s="14" t="s">
        <v>255</v>
      </c>
      <c r="E21" s="14" t="s">
        <v>256</v>
      </c>
    </row>
    <row r="22" customFormat="false" ht="15" hidden="false" customHeight="false" outlineLevel="0" collapsed="false">
      <c r="A22" s="14" t="s">
        <v>257</v>
      </c>
      <c r="B22" s="14" t="s">
        <v>61</v>
      </c>
      <c r="C22" s="14" t="s">
        <v>62</v>
      </c>
      <c r="D22" s="14" t="s">
        <v>258</v>
      </c>
      <c r="E22" s="14" t="s">
        <v>259</v>
      </c>
    </row>
    <row r="23" customFormat="false" ht="15" hidden="false" customHeight="false" outlineLevel="0" collapsed="false">
      <c r="A23" s="14" t="s">
        <v>260</v>
      </c>
      <c r="B23" s="14" t="s">
        <v>70</v>
      </c>
      <c r="C23" s="14" t="s">
        <v>62</v>
      </c>
      <c r="D23" s="14" t="s">
        <v>261</v>
      </c>
      <c r="E23" s="14" t="s">
        <v>62</v>
      </c>
    </row>
    <row r="24" customFormat="false" ht="15" hidden="false" customHeight="false" outlineLevel="0" collapsed="false">
      <c r="A24" s="14" t="s">
        <v>262</v>
      </c>
      <c r="B24" s="14" t="s">
        <v>70</v>
      </c>
      <c r="C24" s="14" t="s">
        <v>62</v>
      </c>
      <c r="D24" s="14" t="s">
        <v>263</v>
      </c>
      <c r="E24" s="14" t="s">
        <v>264</v>
      </c>
    </row>
    <row r="25" customFormat="false" ht="15" hidden="false" customHeight="false" outlineLevel="0" collapsed="false">
      <c r="A25" s="14" t="s">
        <v>265</v>
      </c>
      <c r="B25" s="14" t="s">
        <v>70</v>
      </c>
      <c r="C25" s="14" t="s">
        <v>62</v>
      </c>
      <c r="D25" s="14" t="s">
        <v>266</v>
      </c>
      <c r="E25" s="14" t="s">
        <v>267</v>
      </c>
    </row>
    <row r="26" customFormat="false" ht="15" hidden="false" customHeight="false" outlineLevel="0" collapsed="false">
      <c r="A26" s="14" t="s">
        <v>268</v>
      </c>
      <c r="B26" s="14" t="s">
        <v>74</v>
      </c>
      <c r="C26" s="14" t="s">
        <v>62</v>
      </c>
      <c r="D26" s="14" t="s">
        <v>269</v>
      </c>
      <c r="E26" s="14" t="s">
        <v>62</v>
      </c>
    </row>
    <row r="27" customFormat="false" ht="15" hidden="false" customHeight="false" outlineLevel="0" collapsed="false">
      <c r="A27" s="14" t="s">
        <v>270</v>
      </c>
      <c r="B27" s="14" t="s">
        <v>74</v>
      </c>
      <c r="C27" s="14" t="s">
        <v>62</v>
      </c>
      <c r="D27" s="14" t="s">
        <v>271</v>
      </c>
      <c r="E27" s="14" t="s">
        <v>272</v>
      </c>
    </row>
    <row r="28" customFormat="false" ht="15" hidden="false" customHeight="false" outlineLevel="0" collapsed="false">
      <c r="A28" s="14" t="s">
        <v>273</v>
      </c>
      <c r="B28" s="14" t="s">
        <v>74</v>
      </c>
      <c r="C28" s="14" t="s">
        <v>62</v>
      </c>
      <c r="D28" s="14" t="s">
        <v>274</v>
      </c>
      <c r="E28" s="14" t="s">
        <v>275</v>
      </c>
    </row>
    <row r="29" customFormat="false" ht="15" hidden="false" customHeight="false" outlineLevel="0" collapsed="false">
      <c r="A29" s="14" t="s">
        <v>276</v>
      </c>
      <c r="B29" s="14" t="s">
        <v>78</v>
      </c>
      <c r="C29" s="14" t="s">
        <v>62</v>
      </c>
      <c r="D29" s="14" t="s">
        <v>277</v>
      </c>
      <c r="E29" s="14" t="s">
        <v>62</v>
      </c>
    </row>
    <row r="30" customFormat="false" ht="15" hidden="false" customHeight="false" outlineLevel="0" collapsed="false">
      <c r="A30" s="14" t="s">
        <v>278</v>
      </c>
      <c r="B30" s="14" t="s">
        <v>78</v>
      </c>
      <c r="C30" s="14" t="s">
        <v>62</v>
      </c>
      <c r="D30" s="14" t="s">
        <v>279</v>
      </c>
      <c r="E30" s="14" t="s">
        <v>280</v>
      </c>
    </row>
    <row r="31" customFormat="false" ht="15" hidden="false" customHeight="false" outlineLevel="0" collapsed="false">
      <c r="A31" s="14" t="s">
        <v>281</v>
      </c>
      <c r="B31" s="14" t="s">
        <v>78</v>
      </c>
      <c r="C31" s="14" t="s">
        <v>62</v>
      </c>
      <c r="D31" s="14" t="s">
        <v>282</v>
      </c>
      <c r="E31" s="14" t="s">
        <v>283</v>
      </c>
    </row>
    <row r="32" customFormat="false" ht="15" hidden="false" customHeight="false" outlineLevel="0" collapsed="false">
      <c r="A32" s="14" t="s">
        <v>284</v>
      </c>
      <c r="B32" s="14" t="s">
        <v>82</v>
      </c>
      <c r="C32" s="14" t="s">
        <v>62</v>
      </c>
      <c r="D32" s="14" t="s">
        <v>285</v>
      </c>
      <c r="E32" s="14" t="s">
        <v>83</v>
      </c>
    </row>
    <row r="33" customFormat="false" ht="15" hidden="false" customHeight="false" outlineLevel="0" collapsed="false">
      <c r="A33" s="14" t="s">
        <v>286</v>
      </c>
      <c r="B33" s="14" t="s">
        <v>82</v>
      </c>
      <c r="C33" s="14" t="s">
        <v>62</v>
      </c>
      <c r="D33" s="14" t="s">
        <v>287</v>
      </c>
      <c r="E33" s="14" t="s">
        <v>288</v>
      </c>
    </row>
    <row r="34" customFormat="false" ht="15" hidden="false" customHeight="false" outlineLevel="0" collapsed="false">
      <c r="A34" s="14" t="s">
        <v>289</v>
      </c>
      <c r="B34" s="14" t="s">
        <v>82</v>
      </c>
      <c r="C34" s="14" t="s">
        <v>62</v>
      </c>
      <c r="D34" s="14" t="s">
        <v>290</v>
      </c>
      <c r="E34" s="14" t="s">
        <v>291</v>
      </c>
    </row>
    <row r="35" customFormat="false" ht="15" hidden="false" customHeight="false" outlineLevel="0" collapsed="false">
      <c r="A35" s="14" t="s">
        <v>292</v>
      </c>
      <c r="B35" s="14" t="s">
        <v>87</v>
      </c>
      <c r="C35" s="14" t="s">
        <v>62</v>
      </c>
      <c r="D35" s="14" t="s">
        <v>293</v>
      </c>
      <c r="E35" s="14" t="s">
        <v>62</v>
      </c>
    </row>
    <row r="36" customFormat="false" ht="15" hidden="false" customHeight="false" outlineLevel="0" collapsed="false">
      <c r="A36" s="14" t="s">
        <v>294</v>
      </c>
      <c r="B36" s="14" t="s">
        <v>87</v>
      </c>
      <c r="C36" s="14" t="s">
        <v>62</v>
      </c>
      <c r="D36" s="14" t="s">
        <v>295</v>
      </c>
      <c r="E36" s="14" t="s">
        <v>296</v>
      </c>
    </row>
    <row r="37" customFormat="false" ht="15" hidden="false" customHeight="false" outlineLevel="0" collapsed="false">
      <c r="A37" s="14" t="s">
        <v>297</v>
      </c>
      <c r="B37" s="14" t="s">
        <v>87</v>
      </c>
      <c r="C37" s="14" t="s">
        <v>62</v>
      </c>
      <c r="D37" s="14" t="s">
        <v>298</v>
      </c>
      <c r="E37" s="14" t="s">
        <v>299</v>
      </c>
    </row>
    <row r="38" customFormat="false" ht="15" hidden="false" customHeight="false" outlineLevel="0" collapsed="false">
      <c r="A38" s="14" t="s">
        <v>300</v>
      </c>
      <c r="B38" s="14" t="s">
        <v>90</v>
      </c>
      <c r="C38" s="14" t="s">
        <v>62</v>
      </c>
      <c r="D38" s="14" t="s">
        <v>301</v>
      </c>
      <c r="E38" s="14" t="s">
        <v>62</v>
      </c>
    </row>
    <row r="39" customFormat="false" ht="15" hidden="false" customHeight="false" outlineLevel="0" collapsed="false">
      <c r="A39" s="14" t="s">
        <v>302</v>
      </c>
      <c r="B39" s="14" t="s">
        <v>90</v>
      </c>
      <c r="C39" s="14" t="s">
        <v>62</v>
      </c>
      <c r="D39" s="14" t="s">
        <v>303</v>
      </c>
      <c r="E39" s="14" t="s">
        <v>275</v>
      </c>
    </row>
    <row r="40" customFormat="false" ht="15" hidden="false" customHeight="false" outlineLevel="0" collapsed="false">
      <c r="A40" s="14" t="s">
        <v>304</v>
      </c>
      <c r="B40" s="14" t="s">
        <v>90</v>
      </c>
      <c r="C40" s="14" t="s">
        <v>62</v>
      </c>
      <c r="D40" s="14" t="s">
        <v>305</v>
      </c>
      <c r="E40" s="14" t="s">
        <v>306</v>
      </c>
    </row>
    <row r="41" customFormat="false" ht="15" hidden="false" customHeight="false" outlineLevel="0" collapsed="false">
      <c r="A41" s="14" t="s">
        <v>307</v>
      </c>
      <c r="B41" s="14" t="s">
        <v>94</v>
      </c>
      <c r="C41" s="14" t="s">
        <v>95</v>
      </c>
      <c r="D41" s="14" t="s">
        <v>308</v>
      </c>
      <c r="E41" s="14" t="s">
        <v>95</v>
      </c>
    </row>
    <row r="42" customFormat="false" ht="15" hidden="false" customHeight="false" outlineLevel="0" collapsed="false">
      <c r="A42" s="14" t="s">
        <v>309</v>
      </c>
      <c r="B42" s="14" t="s">
        <v>94</v>
      </c>
      <c r="C42" s="14" t="s">
        <v>95</v>
      </c>
      <c r="D42" s="14" t="s">
        <v>310</v>
      </c>
      <c r="E42" s="14" t="s">
        <v>311</v>
      </c>
    </row>
    <row r="43" customFormat="false" ht="15" hidden="false" customHeight="false" outlineLevel="0" collapsed="false">
      <c r="A43" s="14" t="s">
        <v>312</v>
      </c>
      <c r="B43" s="14" t="s">
        <v>94</v>
      </c>
      <c r="C43" s="14" t="s">
        <v>95</v>
      </c>
      <c r="D43" s="14" t="s">
        <v>313</v>
      </c>
      <c r="E43" s="14" t="s">
        <v>314</v>
      </c>
    </row>
    <row r="44" customFormat="false" ht="15" hidden="false" customHeight="false" outlineLevel="0" collapsed="false">
      <c r="A44" s="14" t="s">
        <v>315</v>
      </c>
      <c r="B44" s="14" t="s">
        <v>111</v>
      </c>
      <c r="C44" s="14" t="s">
        <v>95</v>
      </c>
      <c r="D44" s="14" t="s">
        <v>316</v>
      </c>
      <c r="E44" s="14" t="s">
        <v>95</v>
      </c>
    </row>
    <row r="45" customFormat="false" ht="15" hidden="false" customHeight="false" outlineLevel="0" collapsed="false">
      <c r="A45" s="14" t="s">
        <v>317</v>
      </c>
      <c r="B45" s="14" t="s">
        <v>111</v>
      </c>
      <c r="C45" s="14" t="s">
        <v>95</v>
      </c>
      <c r="D45" s="14" t="s">
        <v>318</v>
      </c>
      <c r="E45" s="14" t="s">
        <v>319</v>
      </c>
    </row>
    <row r="46" customFormat="false" ht="15" hidden="false" customHeight="false" outlineLevel="0" collapsed="false">
      <c r="A46" s="14" t="s">
        <v>320</v>
      </c>
      <c r="B46" s="14" t="s">
        <v>111</v>
      </c>
      <c r="C46" s="14" t="s">
        <v>95</v>
      </c>
      <c r="D46" s="14" t="s">
        <v>321</v>
      </c>
      <c r="E46" s="14" t="s">
        <v>322</v>
      </c>
    </row>
    <row r="47" customFormat="false" ht="15" hidden="false" customHeight="false" outlineLevel="0" collapsed="false">
      <c r="A47" s="14" t="s">
        <v>323</v>
      </c>
      <c r="B47" s="14" t="s">
        <v>117</v>
      </c>
      <c r="C47" s="14" t="s">
        <v>95</v>
      </c>
      <c r="D47" s="14" t="s">
        <v>324</v>
      </c>
      <c r="E47" s="14" t="s">
        <v>95</v>
      </c>
    </row>
    <row r="48" customFormat="false" ht="15" hidden="false" customHeight="false" outlineLevel="0" collapsed="false">
      <c r="A48" s="14" t="s">
        <v>325</v>
      </c>
      <c r="B48" s="14" t="s">
        <v>117</v>
      </c>
      <c r="C48" s="14" t="s">
        <v>95</v>
      </c>
      <c r="D48" s="14" t="s">
        <v>326</v>
      </c>
      <c r="E48" s="14" t="s">
        <v>327</v>
      </c>
    </row>
    <row r="49" customFormat="false" ht="15" hidden="false" customHeight="false" outlineLevel="0" collapsed="false">
      <c r="A49" s="14" t="s">
        <v>328</v>
      </c>
      <c r="B49" s="14" t="s">
        <v>117</v>
      </c>
      <c r="C49" s="14" t="s">
        <v>95</v>
      </c>
      <c r="D49" s="14" t="s">
        <v>329</v>
      </c>
      <c r="E49" s="14" t="s">
        <v>330</v>
      </c>
    </row>
    <row r="50" customFormat="false" ht="15" hidden="false" customHeight="false" outlineLevel="0" collapsed="false">
      <c r="A50" s="14" t="s">
        <v>331</v>
      </c>
      <c r="B50" s="14" t="s">
        <v>125</v>
      </c>
      <c r="C50" s="14" t="s">
        <v>95</v>
      </c>
      <c r="D50" s="14" t="s">
        <v>332</v>
      </c>
      <c r="E50" s="14" t="s">
        <v>95</v>
      </c>
    </row>
    <row r="51" customFormat="false" ht="15" hidden="false" customHeight="false" outlineLevel="0" collapsed="false">
      <c r="A51" s="14" t="s">
        <v>333</v>
      </c>
      <c r="B51" s="14" t="s">
        <v>125</v>
      </c>
      <c r="C51" s="14" t="s">
        <v>95</v>
      </c>
      <c r="D51" s="14" t="s">
        <v>334</v>
      </c>
      <c r="E51" s="14" t="s">
        <v>335</v>
      </c>
    </row>
    <row r="52" customFormat="false" ht="15" hidden="false" customHeight="false" outlineLevel="0" collapsed="false">
      <c r="A52" s="14" t="s">
        <v>336</v>
      </c>
      <c r="B52" s="14" t="s">
        <v>125</v>
      </c>
      <c r="C52" s="14" t="s">
        <v>95</v>
      </c>
      <c r="D52" s="14" t="s">
        <v>337</v>
      </c>
      <c r="E52" s="14" t="s">
        <v>338</v>
      </c>
    </row>
    <row r="53" customFormat="false" ht="15" hidden="false" customHeight="false" outlineLevel="0" collapsed="false">
      <c r="A53" s="14" t="s">
        <v>339</v>
      </c>
      <c r="B53" s="14" t="s">
        <v>130</v>
      </c>
      <c r="C53" s="14" t="s">
        <v>131</v>
      </c>
      <c r="D53" s="14" t="s">
        <v>340</v>
      </c>
      <c r="E53" s="14" t="s">
        <v>132</v>
      </c>
    </row>
    <row r="54" customFormat="false" ht="15" hidden="false" customHeight="false" outlineLevel="0" collapsed="false">
      <c r="A54" s="14" t="s">
        <v>341</v>
      </c>
      <c r="B54" s="14" t="s">
        <v>130</v>
      </c>
      <c r="C54" s="14" t="s">
        <v>131</v>
      </c>
      <c r="D54" s="14" t="s">
        <v>342</v>
      </c>
      <c r="E54" s="14"/>
    </row>
    <row r="55" customFormat="false" ht="15" hidden="false" customHeight="false" outlineLevel="0" collapsed="false">
      <c r="A55" s="14" t="s">
        <v>343</v>
      </c>
      <c r="B55" s="14" t="s">
        <v>130</v>
      </c>
      <c r="C55" s="14" t="s">
        <v>131</v>
      </c>
      <c r="D55" s="14" t="s">
        <v>344</v>
      </c>
      <c r="E55" s="14" t="s">
        <v>345</v>
      </c>
    </row>
    <row r="56" customFormat="false" ht="15" hidden="false" customHeight="false" outlineLevel="0" collapsed="false">
      <c r="A56" s="14" t="s">
        <v>346</v>
      </c>
      <c r="B56" s="14" t="s">
        <v>136</v>
      </c>
      <c r="C56" s="14" t="s">
        <v>131</v>
      </c>
      <c r="D56" s="14" t="s">
        <v>347</v>
      </c>
      <c r="E56" s="14" t="s">
        <v>132</v>
      </c>
    </row>
    <row r="57" customFormat="false" ht="15" hidden="false" customHeight="false" outlineLevel="0" collapsed="false">
      <c r="A57" s="14" t="s">
        <v>348</v>
      </c>
      <c r="B57" s="14" t="s">
        <v>136</v>
      </c>
      <c r="C57" s="14" t="s">
        <v>131</v>
      </c>
      <c r="D57" s="14" t="s">
        <v>342</v>
      </c>
      <c r="E57" s="14"/>
    </row>
    <row r="58" customFormat="false" ht="15" hidden="false" customHeight="false" outlineLevel="0" collapsed="false">
      <c r="A58" s="14" t="s">
        <v>349</v>
      </c>
      <c r="B58" s="14" t="s">
        <v>136</v>
      </c>
      <c r="C58" s="14" t="s">
        <v>131</v>
      </c>
      <c r="D58" s="14" t="s">
        <v>350</v>
      </c>
      <c r="E58" s="14" t="s">
        <v>351</v>
      </c>
    </row>
    <row r="59" customFormat="false" ht="15" hidden="false" customHeight="false" outlineLevel="0" collapsed="false">
      <c r="A59" s="14" t="s">
        <v>352</v>
      </c>
      <c r="B59" s="14" t="s">
        <v>140</v>
      </c>
      <c r="C59" s="14" t="s">
        <v>131</v>
      </c>
      <c r="D59" s="14" t="s">
        <v>353</v>
      </c>
      <c r="E59" s="14" t="s">
        <v>132</v>
      </c>
    </row>
    <row r="60" customFormat="false" ht="15" hidden="false" customHeight="false" outlineLevel="0" collapsed="false">
      <c r="A60" s="14" t="s">
        <v>354</v>
      </c>
      <c r="B60" s="14" t="s">
        <v>140</v>
      </c>
      <c r="C60" s="14" t="s">
        <v>131</v>
      </c>
      <c r="D60" s="14" t="s">
        <v>355</v>
      </c>
      <c r="E60" s="14" t="s">
        <v>356</v>
      </c>
    </row>
    <row r="61" customFormat="false" ht="15" hidden="false" customHeight="false" outlineLevel="0" collapsed="false">
      <c r="A61" s="14" t="s">
        <v>357</v>
      </c>
      <c r="B61" s="14" t="s">
        <v>140</v>
      </c>
      <c r="C61" s="14" t="s">
        <v>131</v>
      </c>
      <c r="D61" s="14" t="s">
        <v>358</v>
      </c>
      <c r="E61" s="14" t="s">
        <v>359</v>
      </c>
    </row>
    <row r="62" customFormat="false" ht="15" hidden="false" customHeight="false" outlineLevel="0" collapsed="false">
      <c r="A62" s="14" t="s">
        <v>360</v>
      </c>
      <c r="B62" s="14" t="s">
        <v>143</v>
      </c>
      <c r="C62" s="14" t="s">
        <v>131</v>
      </c>
      <c r="D62" s="14" t="s">
        <v>361</v>
      </c>
      <c r="E62" s="14" t="s">
        <v>132</v>
      </c>
    </row>
    <row r="63" customFormat="false" ht="15" hidden="false" customHeight="false" outlineLevel="0" collapsed="false">
      <c r="A63" s="14" t="s">
        <v>362</v>
      </c>
      <c r="B63" s="14" t="s">
        <v>143</v>
      </c>
      <c r="C63" s="14" t="s">
        <v>131</v>
      </c>
      <c r="D63" s="14" t="s">
        <v>342</v>
      </c>
      <c r="E63" s="14"/>
    </row>
    <row r="64" customFormat="false" ht="15" hidden="false" customHeight="false" outlineLevel="0" collapsed="false">
      <c r="A64" s="14" t="s">
        <v>363</v>
      </c>
      <c r="B64" s="14" t="s">
        <v>143</v>
      </c>
      <c r="C64" s="14" t="s">
        <v>131</v>
      </c>
      <c r="D64" s="14" t="s">
        <v>342</v>
      </c>
      <c r="E64" s="14"/>
    </row>
    <row r="65" customFormat="false" ht="15" hidden="false" customHeight="false" outlineLevel="0" collapsed="false">
      <c r="A65" s="14" t="s">
        <v>364</v>
      </c>
      <c r="B65" s="14" t="s">
        <v>147</v>
      </c>
      <c r="C65" s="14" t="s">
        <v>148</v>
      </c>
      <c r="D65" s="14" t="s">
        <v>365</v>
      </c>
      <c r="E65" s="14" t="s">
        <v>148</v>
      </c>
    </row>
    <row r="66" customFormat="false" ht="15" hidden="false" customHeight="false" outlineLevel="0" collapsed="false">
      <c r="A66" s="14" t="s">
        <v>366</v>
      </c>
      <c r="B66" s="14" t="s">
        <v>147</v>
      </c>
      <c r="C66" s="14" t="s">
        <v>148</v>
      </c>
      <c r="D66" s="14" t="s">
        <v>367</v>
      </c>
      <c r="E66" s="14" t="s">
        <v>368</v>
      </c>
    </row>
    <row r="67" customFormat="false" ht="15" hidden="false" customHeight="false" outlineLevel="0" collapsed="false">
      <c r="A67" s="14" t="s">
        <v>369</v>
      </c>
      <c r="B67" s="14" t="s">
        <v>147</v>
      </c>
      <c r="C67" s="14" t="s">
        <v>148</v>
      </c>
      <c r="D67" s="14" t="s">
        <v>370</v>
      </c>
      <c r="E67" s="14" t="s">
        <v>371</v>
      </c>
    </row>
    <row r="68" customFormat="false" ht="15" hidden="false" customHeight="false" outlineLevel="0" collapsed="false">
      <c r="A68" s="14" t="s">
        <v>372</v>
      </c>
      <c r="B68" s="14" t="s">
        <v>152</v>
      </c>
      <c r="C68" s="14" t="s">
        <v>148</v>
      </c>
      <c r="D68" s="14" t="s">
        <v>373</v>
      </c>
      <c r="E68" s="14" t="s">
        <v>148</v>
      </c>
    </row>
    <row r="69" customFormat="false" ht="15" hidden="false" customHeight="false" outlineLevel="0" collapsed="false">
      <c r="A69" s="14" t="s">
        <v>374</v>
      </c>
      <c r="B69" s="14" t="s">
        <v>152</v>
      </c>
      <c r="C69" s="14" t="s">
        <v>148</v>
      </c>
      <c r="D69" s="14" t="s">
        <v>375</v>
      </c>
      <c r="E69" s="14" t="s">
        <v>376</v>
      </c>
    </row>
    <row r="70" customFormat="false" ht="15" hidden="false" customHeight="false" outlineLevel="0" collapsed="false">
      <c r="A70" s="14" t="s">
        <v>377</v>
      </c>
      <c r="B70" s="14" t="s">
        <v>152</v>
      </c>
      <c r="C70" s="14" t="s">
        <v>148</v>
      </c>
      <c r="D70" s="14" t="s">
        <v>378</v>
      </c>
      <c r="E70" s="14" t="s">
        <v>379</v>
      </c>
    </row>
    <row r="71" customFormat="false" ht="15" hidden="false" customHeight="false" outlineLevel="0" collapsed="false">
      <c r="A71" s="14" t="s">
        <v>380</v>
      </c>
      <c r="B71" s="14" t="s">
        <v>156</v>
      </c>
      <c r="C71" s="14" t="s">
        <v>158</v>
      </c>
      <c r="D71" s="14" t="s">
        <v>205</v>
      </c>
      <c r="E71" s="14" t="s">
        <v>158</v>
      </c>
    </row>
    <row r="72" customFormat="false" ht="15" hidden="false" customHeight="false" outlineLevel="0" collapsed="false">
      <c r="A72" s="14" t="s">
        <v>381</v>
      </c>
      <c r="B72" s="14" t="s">
        <v>156</v>
      </c>
      <c r="C72" s="14" t="s">
        <v>158</v>
      </c>
      <c r="D72" s="14" t="s">
        <v>207</v>
      </c>
      <c r="E72" s="14" t="s">
        <v>382</v>
      </c>
    </row>
    <row r="73" customFormat="false" ht="15" hidden="false" customHeight="false" outlineLevel="0" collapsed="false">
      <c r="A73" s="14" t="s">
        <v>383</v>
      </c>
      <c r="B73" s="14" t="s">
        <v>156</v>
      </c>
      <c r="C73" s="14" t="s">
        <v>158</v>
      </c>
      <c r="D73" s="14" t="s">
        <v>210</v>
      </c>
      <c r="E73" s="14" t="s">
        <v>384</v>
      </c>
    </row>
    <row r="74" customFormat="false" ht="15" hidden="false" customHeight="false" outlineLevel="0" collapsed="false">
      <c r="A74" s="14" t="s">
        <v>385</v>
      </c>
      <c r="B74" s="14" t="s">
        <v>162</v>
      </c>
      <c r="C74" s="14" t="s">
        <v>158</v>
      </c>
      <c r="D74" s="14" t="s">
        <v>213</v>
      </c>
      <c r="E74" s="14" t="s">
        <v>163</v>
      </c>
    </row>
    <row r="75" customFormat="false" ht="15" hidden="false" customHeight="false" outlineLevel="0" collapsed="false">
      <c r="A75" s="14" t="s">
        <v>386</v>
      </c>
      <c r="B75" s="14" t="s">
        <v>162</v>
      </c>
      <c r="C75" s="14" t="s">
        <v>158</v>
      </c>
      <c r="D75" s="14" t="s">
        <v>215</v>
      </c>
      <c r="E75" s="14" t="s">
        <v>387</v>
      </c>
    </row>
    <row r="76" customFormat="false" ht="15" hidden="false" customHeight="false" outlineLevel="0" collapsed="false">
      <c r="A76" s="14" t="s">
        <v>388</v>
      </c>
      <c r="B76" s="14" t="s">
        <v>162</v>
      </c>
      <c r="C76" s="14" t="s">
        <v>158</v>
      </c>
      <c r="D76" s="14" t="s">
        <v>218</v>
      </c>
      <c r="E76" s="14" t="s">
        <v>389</v>
      </c>
    </row>
    <row r="77" customFormat="false" ht="15" hidden="false" customHeight="false" outlineLevel="0" collapsed="false">
      <c r="A77" s="14" t="s">
        <v>390</v>
      </c>
      <c r="B77" s="14" t="s">
        <v>167</v>
      </c>
      <c r="C77" s="14" t="s">
        <v>158</v>
      </c>
      <c r="D77" s="14" t="s">
        <v>221</v>
      </c>
      <c r="E77" s="14" t="s">
        <v>158</v>
      </c>
    </row>
    <row r="78" customFormat="false" ht="15" hidden="false" customHeight="false" outlineLevel="0" collapsed="false">
      <c r="A78" s="14" t="s">
        <v>391</v>
      </c>
      <c r="B78" s="14" t="s">
        <v>167</v>
      </c>
      <c r="C78" s="14" t="s">
        <v>158</v>
      </c>
      <c r="D78" s="14" t="s">
        <v>223</v>
      </c>
      <c r="E78" s="14" t="s">
        <v>392</v>
      </c>
    </row>
    <row r="79" customFormat="false" ht="15" hidden="false" customHeight="false" outlineLevel="0" collapsed="false">
      <c r="A79" s="14" t="s">
        <v>393</v>
      </c>
      <c r="B79" s="14" t="s">
        <v>167</v>
      </c>
      <c r="C79" s="14" t="s">
        <v>158</v>
      </c>
      <c r="D79" s="14" t="s">
        <v>226</v>
      </c>
      <c r="E79" s="14" t="s">
        <v>394</v>
      </c>
    </row>
    <row r="80" customFormat="false" ht="15" hidden="false" customHeight="false" outlineLevel="0" collapsed="false">
      <c r="A80" s="14" t="s">
        <v>395</v>
      </c>
      <c r="B80" s="14" t="s">
        <v>171</v>
      </c>
      <c r="C80" s="14" t="s">
        <v>158</v>
      </c>
      <c r="D80" s="14" t="s">
        <v>229</v>
      </c>
      <c r="E80" s="14" t="s">
        <v>158</v>
      </c>
    </row>
    <row r="81" customFormat="false" ht="15" hidden="false" customHeight="false" outlineLevel="0" collapsed="false">
      <c r="A81" s="14" t="s">
        <v>396</v>
      </c>
      <c r="B81" s="14" t="s">
        <v>171</v>
      </c>
      <c r="C81" s="14" t="s">
        <v>158</v>
      </c>
      <c r="D81" s="14" t="s">
        <v>231</v>
      </c>
      <c r="E81" s="14" t="s">
        <v>397</v>
      </c>
    </row>
    <row r="82" customFormat="false" ht="15" hidden="false" customHeight="false" outlineLevel="0" collapsed="false">
      <c r="A82" s="14" t="s">
        <v>398</v>
      </c>
      <c r="B82" s="14" t="s">
        <v>171</v>
      </c>
      <c r="C82" s="14" t="s">
        <v>158</v>
      </c>
      <c r="D82" s="14" t="s">
        <v>234</v>
      </c>
      <c r="E82" s="14" t="s">
        <v>399</v>
      </c>
    </row>
    <row r="83" customFormat="false" ht="15" hidden="false" customHeight="false" outlineLevel="0" collapsed="false">
      <c r="A83" s="14" t="s">
        <v>400</v>
      </c>
      <c r="B83" s="14" t="s">
        <v>175</v>
      </c>
      <c r="C83" s="14" t="s">
        <v>158</v>
      </c>
      <c r="D83" s="14" t="s">
        <v>401</v>
      </c>
      <c r="E83" s="14" t="s">
        <v>158</v>
      </c>
    </row>
    <row r="84" customFormat="false" ht="15" hidden="false" customHeight="false" outlineLevel="0" collapsed="false">
      <c r="A84" s="14" t="s">
        <v>402</v>
      </c>
      <c r="B84" s="14" t="s">
        <v>175</v>
      </c>
      <c r="C84" s="14" t="s">
        <v>158</v>
      </c>
      <c r="D84" s="14" t="s">
        <v>403</v>
      </c>
      <c r="E84" s="14" t="s">
        <v>404</v>
      </c>
    </row>
    <row r="85" customFormat="false" ht="15" hidden="false" customHeight="false" outlineLevel="0" collapsed="false">
      <c r="A85" s="14" t="s">
        <v>405</v>
      </c>
      <c r="B85" s="14" t="s">
        <v>175</v>
      </c>
      <c r="C85" s="14" t="s">
        <v>158</v>
      </c>
      <c r="D85" s="14" t="s">
        <v>406</v>
      </c>
      <c r="E85" s="14" t="s">
        <v>407</v>
      </c>
    </row>
    <row r="86" customFormat="false" ht="15" hidden="false" customHeight="false" outlineLevel="0" collapsed="false">
      <c r="A86" s="14" t="s">
        <v>408</v>
      </c>
      <c r="B86" s="14" t="s">
        <v>178</v>
      </c>
      <c r="C86" s="14" t="s">
        <v>158</v>
      </c>
      <c r="D86" s="14" t="s">
        <v>237</v>
      </c>
      <c r="E86" s="14" t="s">
        <v>158</v>
      </c>
    </row>
    <row r="87" customFormat="false" ht="15" hidden="false" customHeight="false" outlineLevel="0" collapsed="false">
      <c r="A87" s="14" t="s">
        <v>409</v>
      </c>
      <c r="B87" s="14" t="s">
        <v>178</v>
      </c>
      <c r="C87" s="14" t="s">
        <v>158</v>
      </c>
      <c r="D87" s="14" t="s">
        <v>239</v>
      </c>
      <c r="E87" s="14" t="s">
        <v>410</v>
      </c>
    </row>
    <row r="88" customFormat="false" ht="15" hidden="false" customHeight="false" outlineLevel="0" collapsed="false">
      <c r="A88" s="14" t="s">
        <v>411</v>
      </c>
      <c r="B88" s="14" t="s">
        <v>178</v>
      </c>
      <c r="C88" s="14" t="s">
        <v>158</v>
      </c>
      <c r="D88" s="14" t="s">
        <v>242</v>
      </c>
      <c r="E88" s="14" t="s">
        <v>412</v>
      </c>
    </row>
    <row r="89" customFormat="false" ht="15" hidden="false" customHeight="false" outlineLevel="0" collapsed="false">
      <c r="A89" s="14" t="s">
        <v>413</v>
      </c>
      <c r="B89" s="14" t="s">
        <v>182</v>
      </c>
      <c r="C89" s="14" t="s">
        <v>158</v>
      </c>
      <c r="D89" s="14" t="s">
        <v>414</v>
      </c>
      <c r="E89" s="14" t="s">
        <v>158</v>
      </c>
    </row>
    <row r="90" customFormat="false" ht="15" hidden="false" customHeight="false" outlineLevel="0" collapsed="false">
      <c r="A90" s="14" t="s">
        <v>415</v>
      </c>
      <c r="B90" s="14" t="s">
        <v>182</v>
      </c>
      <c r="C90" s="14" t="s">
        <v>158</v>
      </c>
      <c r="D90" s="14" t="s">
        <v>416</v>
      </c>
      <c r="E90" s="14" t="s">
        <v>417</v>
      </c>
    </row>
    <row r="91" customFormat="false" ht="15" hidden="false" customHeight="false" outlineLevel="0" collapsed="false">
      <c r="A91" s="14" t="s">
        <v>418</v>
      </c>
      <c r="B91" s="14" t="s">
        <v>182</v>
      </c>
      <c r="C91" s="14" t="s">
        <v>158</v>
      </c>
      <c r="D91" s="14" t="s">
        <v>419</v>
      </c>
      <c r="E91" s="14" t="s">
        <v>420</v>
      </c>
    </row>
  </sheetData>
  <autoFilter ref="A1:E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 hidden="false" customHeight="true" outlineLevel="0" collapsed="false">
      <c r="A1" s="15" t="s">
        <v>421</v>
      </c>
    </row>
    <row r="3" customFormat="false" ht="23.25" hidden="false" customHeight="true" outlineLevel="0" collapsed="false">
      <c r="A3" s="16" t="s">
        <v>422</v>
      </c>
    </row>
    <row r="4" customFormat="false" ht="23.25" hidden="false" customHeight="true" outlineLevel="0" collapsed="false">
      <c r="A4" s="16" t="s">
        <v>423</v>
      </c>
    </row>
    <row r="5" customFormat="false" ht="23.25" hidden="false" customHeight="true" outlineLevel="0" collapsed="false">
      <c r="A5" s="16" t="s">
        <v>424</v>
      </c>
    </row>
    <row r="6" customFormat="false" ht="23.25" hidden="false" customHeight="true" outlineLevel="0" collapsed="false">
      <c r="A6" s="16" t="s">
        <v>425</v>
      </c>
    </row>
    <row r="7" customFormat="false" ht="15" hidden="false" customHeight="true" outlineLevel="0" collapsed="false">
      <c r="A7" s="16" t="s">
        <v>426</v>
      </c>
    </row>
    <row r="8" customFormat="false" ht="23.25" hidden="false" customHeight="true" outlineLevel="0" collapsed="false">
      <c r="A8" s="16"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2026-10-26T09:02:35Z</dcterms:created>
  <dc:creator>openpyxl</dc:creator>
  <dc:description/>
  <dc:language>en-US</dc:language>
  <cp:lastModifiedBy/>
  <dcterms:modified xsi:type="dcterms:W3CDTF">2026-10-26T09:07:06Z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